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BE3EC8A-E872-4310-A6D9-EBA0567C6CD0}" xr6:coauthVersionLast="47" xr6:coauthVersionMax="47" xr10:uidLastSave="{00000000-0000-0000-0000-000000000000}"/>
  <bookViews>
    <workbookView xWindow="-120" yWindow="-120" windowWidth="29040" windowHeight="15720" tabRatio="500" firstSheet="7" activeTab="12" xr2:uid="{00000000-000D-0000-FFFF-FFFF00000000}"/>
  </bookViews>
  <sheets>
    <sheet name="요약" sheetId="1" r:id="rId1"/>
    <sheet name="설정값" sheetId="2" r:id="rId2"/>
    <sheet name="손익계산서_원본" sheetId="3" r:id="rId3"/>
    <sheet name="주석_보조자료" sheetId="4" r:id="rId4"/>
    <sheet name="원가구조_기준" sheetId="5" r:id="rId5"/>
    <sheet name="대조선박_손익" sheetId="6" r:id="rId6"/>
    <sheet name="차입금_상환" sheetId="7" r:id="rId7"/>
    <sheet name="10개년_예상" sheetId="8" r:id="rId8"/>
    <sheet name="목표이익률_지표" sheetId="9" r:id="rId9"/>
    <sheet name="CVP_손익분기" sheetId="10" r:id="rId10"/>
    <sheet name="인건비_부가가치" sheetId="11" r:id="rId11"/>
    <sheet name="운임_화물_선박" sheetId="12" r:id="rId12"/>
    <sheet name="출처_한계" sheetId="14" r:id="rId13"/>
    <sheet name="검산" sheetId="13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13" l="1"/>
  <c r="D12" i="13"/>
  <c r="D9" i="13"/>
  <c r="K54" i="12"/>
  <c r="J54" i="12"/>
  <c r="I54" i="12"/>
  <c r="H54" i="12"/>
  <c r="G54" i="12"/>
  <c r="F54" i="12"/>
  <c r="E54" i="12"/>
  <c r="H12" i="12"/>
  <c r="G12" i="12"/>
  <c r="F12" i="12"/>
  <c r="E12" i="12"/>
  <c r="D12" i="12"/>
  <c r="C12" i="12"/>
  <c r="C70" i="11"/>
  <c r="D62" i="11"/>
  <c r="C62" i="11"/>
  <c r="D61" i="11"/>
  <c r="C61" i="11"/>
  <c r="D60" i="11"/>
  <c r="C60" i="11"/>
  <c r="D59" i="11"/>
  <c r="E59" i="11" s="1"/>
  <c r="C59" i="11"/>
  <c r="D58" i="11"/>
  <c r="C58" i="11"/>
  <c r="D57" i="11"/>
  <c r="C49" i="11"/>
  <c r="C48" i="11"/>
  <c r="C47" i="11"/>
  <c r="D38" i="11"/>
  <c r="C38" i="11"/>
  <c r="C28" i="11"/>
  <c r="C19" i="11"/>
  <c r="E19" i="11" s="1"/>
  <c r="D17" i="11"/>
  <c r="C17" i="11"/>
  <c r="D15" i="11"/>
  <c r="C15" i="11"/>
  <c r="D14" i="11"/>
  <c r="C14" i="11"/>
  <c r="I10" i="11"/>
  <c r="C8" i="11"/>
  <c r="C7" i="11"/>
  <c r="C6" i="11"/>
  <c r="C64" i="9"/>
  <c r="B87" i="9" s="1"/>
  <c r="C63" i="9"/>
  <c r="C59" i="9"/>
  <c r="C54" i="9"/>
  <c r="C18" i="9"/>
  <c r="B41" i="9" s="1"/>
  <c r="C17" i="9"/>
  <c r="C13" i="9"/>
  <c r="C8" i="9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2" i="8"/>
  <c r="C31" i="8"/>
  <c r="C30" i="8"/>
  <c r="C29" i="8"/>
  <c r="C28" i="8"/>
  <c r="C24" i="8"/>
  <c r="C23" i="8"/>
  <c r="C22" i="8"/>
  <c r="C21" i="8"/>
  <c r="C20" i="8"/>
  <c r="C18" i="8"/>
  <c r="C17" i="8"/>
  <c r="C16" i="8"/>
  <c r="C15" i="8"/>
  <c r="C14" i="8"/>
  <c r="C13" i="8"/>
  <c r="O11" i="8"/>
  <c r="C10" i="8"/>
  <c r="C9" i="8"/>
  <c r="C8" i="8"/>
  <c r="C10" i="7"/>
  <c r="C9" i="7"/>
  <c r="C8" i="7"/>
  <c r="C7" i="7"/>
  <c r="C6" i="7"/>
  <c r="C101" i="6" s="1"/>
  <c r="E114" i="6"/>
  <c r="D114" i="6"/>
  <c r="E113" i="6"/>
  <c r="D113" i="6"/>
  <c r="E112" i="6"/>
  <c r="D112" i="6"/>
  <c r="E111" i="6"/>
  <c r="D111" i="6"/>
  <c r="E110" i="6"/>
  <c r="D110" i="6"/>
  <c r="E109" i="6"/>
  <c r="D109" i="6"/>
  <c r="E108" i="6"/>
  <c r="D108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0" i="6"/>
  <c r="C33" i="6"/>
  <c r="C27" i="6"/>
  <c r="E19" i="6"/>
  <c r="D19" i="6"/>
  <c r="C19" i="6"/>
  <c r="E18" i="6"/>
  <c r="D18" i="6"/>
  <c r="C18" i="6"/>
  <c r="E17" i="6"/>
  <c r="C20" i="6" s="1"/>
  <c r="D17" i="6"/>
  <c r="C21" i="6" s="1"/>
  <c r="C22" i="6" s="1"/>
  <c r="C23" i="6" s="1"/>
  <c r="C17" i="6"/>
  <c r="C16" i="6"/>
  <c r="F39" i="6" s="1"/>
  <c r="C15" i="6"/>
  <c r="C14" i="6"/>
  <c r="C13" i="6"/>
  <c r="C12" i="6"/>
  <c r="C10" i="6"/>
  <c r="C8" i="6"/>
  <c r="C6" i="6"/>
  <c r="C76" i="5"/>
  <c r="E67" i="5"/>
  <c r="D67" i="5"/>
  <c r="E66" i="5"/>
  <c r="D66" i="5"/>
  <c r="E65" i="5"/>
  <c r="D65" i="5"/>
  <c r="E64" i="5"/>
  <c r="D64" i="5"/>
  <c r="E63" i="5"/>
  <c r="D63" i="5"/>
  <c r="G62" i="5"/>
  <c r="E62" i="5"/>
  <c r="D62" i="5"/>
  <c r="E61" i="5"/>
  <c r="D61" i="5"/>
  <c r="D57" i="5"/>
  <c r="E57" i="5" s="1"/>
  <c r="D56" i="5"/>
  <c r="E56" i="5" s="1"/>
  <c r="D55" i="5"/>
  <c r="E55" i="5" s="1"/>
  <c r="E54" i="5"/>
  <c r="D54" i="5"/>
  <c r="D53" i="5"/>
  <c r="C50" i="5"/>
  <c r="C47" i="5"/>
  <c r="C43" i="5"/>
  <c r="E39" i="5"/>
  <c r="D39" i="5"/>
  <c r="C39" i="5"/>
  <c r="E38" i="5"/>
  <c r="D38" i="5"/>
  <c r="C38" i="5"/>
  <c r="E37" i="5"/>
  <c r="C40" i="5" s="1"/>
  <c r="D37" i="5"/>
  <c r="C41" i="5" s="1"/>
  <c r="C42" i="5" s="1"/>
  <c r="C44" i="5" s="1"/>
  <c r="C37" i="5"/>
  <c r="C31" i="5"/>
  <c r="D19" i="11" s="1"/>
  <c r="C29" i="5"/>
  <c r="C28" i="5"/>
  <c r="C18" i="5"/>
  <c r="C16" i="5"/>
  <c r="C9" i="5"/>
  <c r="C6" i="5"/>
  <c r="H12" i="4"/>
  <c r="D39" i="11" s="1"/>
  <c r="E12" i="4"/>
  <c r="C39" i="11" s="1"/>
  <c r="H11" i="4"/>
  <c r="D40" i="11" s="1"/>
  <c r="E11" i="4"/>
  <c r="C40" i="11" s="1"/>
  <c r="H10" i="4"/>
  <c r="D41" i="11" s="1"/>
  <c r="E10" i="4"/>
  <c r="C41" i="11" s="1"/>
  <c r="G9" i="4"/>
  <c r="G13" i="4" s="1"/>
  <c r="F9" i="4"/>
  <c r="F13" i="4" s="1"/>
  <c r="D9" i="4"/>
  <c r="D13" i="4" s="1"/>
  <c r="D14" i="4" s="1"/>
  <c r="C9" i="4"/>
  <c r="C13" i="4" s="1"/>
  <c r="H8" i="4"/>
  <c r="E8" i="4"/>
  <c r="D7" i="13" s="1"/>
  <c r="H7" i="4"/>
  <c r="E7" i="4"/>
  <c r="D6" i="13" s="1"/>
  <c r="H6" i="4"/>
  <c r="H9" i="4" s="1"/>
  <c r="E6" i="4"/>
  <c r="G63" i="3"/>
  <c r="I63" i="3" s="1"/>
  <c r="D63" i="3"/>
  <c r="G62" i="3"/>
  <c r="I62" i="3" s="1"/>
  <c r="D62" i="3"/>
  <c r="J62" i="3" s="1"/>
  <c r="J59" i="3"/>
  <c r="I59" i="3"/>
  <c r="F59" i="3"/>
  <c r="J57" i="3"/>
  <c r="J56" i="3"/>
  <c r="J55" i="3"/>
  <c r="F55" i="3"/>
  <c r="J54" i="3"/>
  <c r="G53" i="3"/>
  <c r="D53" i="3"/>
  <c r="J52" i="3"/>
  <c r="J51" i="3"/>
  <c r="J50" i="3"/>
  <c r="I50" i="3"/>
  <c r="J49" i="3"/>
  <c r="G48" i="3"/>
  <c r="D48" i="3"/>
  <c r="J44" i="3"/>
  <c r="F44" i="3"/>
  <c r="J43" i="3"/>
  <c r="J42" i="3"/>
  <c r="J41" i="3"/>
  <c r="J40" i="3"/>
  <c r="J39" i="3"/>
  <c r="J38" i="3"/>
  <c r="J37" i="3"/>
  <c r="J36" i="3"/>
  <c r="J35" i="3"/>
  <c r="F35" i="3"/>
  <c r="J34" i="3"/>
  <c r="J33" i="3"/>
  <c r="J32" i="3"/>
  <c r="J31" i="3"/>
  <c r="J30" i="3"/>
  <c r="J29" i="3"/>
  <c r="J28" i="3"/>
  <c r="J27" i="3"/>
  <c r="J26" i="3"/>
  <c r="G25" i="3"/>
  <c r="D25" i="3"/>
  <c r="G17" i="3"/>
  <c r="D17" i="3"/>
  <c r="G16" i="3"/>
  <c r="D16" i="3"/>
  <c r="G15" i="3"/>
  <c r="D15" i="3"/>
  <c r="G14" i="3"/>
  <c r="D14" i="3"/>
  <c r="G13" i="3"/>
  <c r="D13" i="3"/>
  <c r="G12" i="3"/>
  <c r="D12" i="3"/>
  <c r="J11" i="3"/>
  <c r="G10" i="3"/>
  <c r="D10" i="3"/>
  <c r="J9" i="3"/>
  <c r="F9" i="3"/>
  <c r="J8" i="3"/>
  <c r="J7" i="3"/>
  <c r="J6" i="3"/>
  <c r="G5" i="3"/>
  <c r="F5" i="3"/>
  <c r="D5" i="3"/>
  <c r="D26" i="1"/>
  <c r="D21" i="1"/>
  <c r="C21" i="1"/>
  <c r="D20" i="1"/>
  <c r="C20" i="1"/>
  <c r="D17" i="1"/>
  <c r="C17" i="1"/>
  <c r="C11" i="7" l="1"/>
  <c r="C12" i="7" s="1"/>
  <c r="L55" i="12"/>
  <c r="L59" i="12"/>
  <c r="L58" i="12"/>
  <c r="C28" i="6" s="1"/>
  <c r="L57" i="12"/>
  <c r="L56" i="12"/>
  <c r="F62" i="11"/>
  <c r="E62" i="11"/>
  <c r="F61" i="11"/>
  <c r="E61" i="11"/>
  <c r="E60" i="11"/>
  <c r="F60" i="11"/>
  <c r="E58" i="11"/>
  <c r="F58" i="11"/>
  <c r="H17" i="11"/>
  <c r="D22" i="11"/>
  <c r="C22" i="11"/>
  <c r="E17" i="11"/>
  <c r="F17" i="11" s="1"/>
  <c r="G17" i="11"/>
  <c r="H15" i="11"/>
  <c r="D21" i="11"/>
  <c r="C21" i="11"/>
  <c r="G15" i="11"/>
  <c r="E15" i="11"/>
  <c r="F15" i="11" s="1"/>
  <c r="D16" i="11"/>
  <c r="H14" i="11"/>
  <c r="G14" i="11"/>
  <c r="E14" i="11"/>
  <c r="F14" i="11" s="1"/>
  <c r="C16" i="11"/>
  <c r="D8" i="11"/>
  <c r="E8" i="11" s="1"/>
  <c r="F8" i="11"/>
  <c r="H8" i="11"/>
  <c r="H7" i="11"/>
  <c r="C10" i="11"/>
  <c r="D10" i="11" s="1"/>
  <c r="D7" i="11"/>
  <c r="E7" i="11" s="1"/>
  <c r="F7" i="11"/>
  <c r="C9" i="11"/>
  <c r="D6" i="11"/>
  <c r="E6" i="11" s="1"/>
  <c r="H6" i="11"/>
  <c r="H9" i="11" s="1"/>
  <c r="R86" i="9"/>
  <c r="R83" i="9"/>
  <c r="R87" i="9"/>
  <c r="R82" i="9"/>
  <c r="R85" i="9"/>
  <c r="R81" i="9"/>
  <c r="R84" i="9"/>
  <c r="X41" i="9"/>
  <c r="V41" i="9"/>
  <c r="T41" i="9"/>
  <c r="V36" i="9"/>
  <c r="X40" i="9"/>
  <c r="X35" i="9"/>
  <c r="X38" i="9"/>
  <c r="V38" i="9"/>
  <c r="T38" i="9"/>
  <c r="X37" i="9"/>
  <c r="T37" i="9"/>
  <c r="T36" i="9"/>
  <c r="T35" i="9"/>
  <c r="C28" i="9"/>
  <c r="V35" i="9"/>
  <c r="V40" i="9"/>
  <c r="V37" i="9"/>
  <c r="T40" i="9"/>
  <c r="X39" i="9"/>
  <c r="V39" i="9"/>
  <c r="T39" i="9"/>
  <c r="X36" i="9"/>
  <c r="R41" i="9"/>
  <c r="R40" i="9"/>
  <c r="R37" i="9"/>
  <c r="R36" i="9"/>
  <c r="R35" i="9"/>
  <c r="R39" i="9"/>
  <c r="R38" i="9"/>
  <c r="D20" i="7"/>
  <c r="F20" i="7" s="1"/>
  <c r="D30" i="13"/>
  <c r="C13" i="7"/>
  <c r="G114" i="6"/>
  <c r="F114" i="6"/>
  <c r="H113" i="6"/>
  <c r="G113" i="6"/>
  <c r="G112" i="6"/>
  <c r="G117" i="6" s="1"/>
  <c r="C69" i="9" s="1"/>
  <c r="H112" i="6"/>
  <c r="H111" i="6"/>
  <c r="F111" i="6"/>
  <c r="G110" i="6"/>
  <c r="H110" i="6"/>
  <c r="H109" i="6"/>
  <c r="G109" i="6"/>
  <c r="H108" i="6"/>
  <c r="G108" i="6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1" i="8"/>
  <c r="C109" i="6"/>
  <c r="F109" i="6" s="1"/>
  <c r="C56" i="6"/>
  <c r="C55" i="9"/>
  <c r="D22" i="1"/>
  <c r="E40" i="6"/>
  <c r="E43" i="6"/>
  <c r="E41" i="6"/>
  <c r="E42" i="6"/>
  <c r="E39" i="6"/>
  <c r="C69" i="6"/>
  <c r="C68" i="6"/>
  <c r="C67" i="6"/>
  <c r="D28" i="11"/>
  <c r="C11" i="6"/>
  <c r="C9" i="6"/>
  <c r="C31" i="6" s="1"/>
  <c r="C51" i="6" s="1"/>
  <c r="C7" i="6"/>
  <c r="E86" i="5"/>
  <c r="F86" i="5"/>
  <c r="C86" i="5"/>
  <c r="H67" i="5"/>
  <c r="G67" i="5"/>
  <c r="F67" i="5"/>
  <c r="E85" i="5"/>
  <c r="F85" i="5"/>
  <c r="G66" i="5"/>
  <c r="H66" i="5"/>
  <c r="E84" i="5"/>
  <c r="F84" i="5"/>
  <c r="G65" i="5"/>
  <c r="G70" i="5" s="1"/>
  <c r="C23" i="9" s="1"/>
  <c r="H65" i="5"/>
  <c r="H70" i="5" s="1"/>
  <c r="C24" i="9" s="1"/>
  <c r="E83" i="5"/>
  <c r="F64" i="5"/>
  <c r="H64" i="5"/>
  <c r="E82" i="5"/>
  <c r="F82" i="5"/>
  <c r="H63" i="5"/>
  <c r="G63" i="5"/>
  <c r="F81" i="5"/>
  <c r="E81" i="5"/>
  <c r="H62" i="5"/>
  <c r="F80" i="5"/>
  <c r="E80" i="5"/>
  <c r="H61" i="5"/>
  <c r="G61" i="5"/>
  <c r="E53" i="5"/>
  <c r="E58" i="5" s="1"/>
  <c r="D58" i="5"/>
  <c r="C79" i="5"/>
  <c r="C12" i="9"/>
  <c r="C22" i="1"/>
  <c r="C9" i="9"/>
  <c r="C30" i="5"/>
  <c r="C27" i="11"/>
  <c r="C29" i="11" s="1"/>
  <c r="C9" i="1" s="1"/>
  <c r="C65" i="11"/>
  <c r="C114" i="6"/>
  <c r="H114" i="6" s="1"/>
  <c r="H117" i="6" s="1"/>
  <c r="C70" i="9" s="1"/>
  <c r="C67" i="5"/>
  <c r="C69" i="11"/>
  <c r="C68" i="11"/>
  <c r="C57" i="11"/>
  <c r="C27" i="5"/>
  <c r="C30" i="11"/>
  <c r="C50" i="11"/>
  <c r="C46" i="5"/>
  <c r="C45" i="5"/>
  <c r="C51" i="11"/>
  <c r="H13" i="4"/>
  <c r="D37" i="11"/>
  <c r="E9" i="4"/>
  <c r="D5" i="13"/>
  <c r="J63" i="3"/>
  <c r="F63" i="3"/>
  <c r="I53" i="3"/>
  <c r="H54" i="3"/>
  <c r="G67" i="3"/>
  <c r="I67" i="3" s="1"/>
  <c r="H57" i="3"/>
  <c r="H56" i="3"/>
  <c r="H55" i="3"/>
  <c r="E54" i="3"/>
  <c r="C18" i="13"/>
  <c r="E18" i="13" s="1"/>
  <c r="F18" i="13" s="1"/>
  <c r="E56" i="3"/>
  <c r="J53" i="3"/>
  <c r="D67" i="3"/>
  <c r="F53" i="3"/>
  <c r="E57" i="3"/>
  <c r="E55" i="3"/>
  <c r="H49" i="3"/>
  <c r="G66" i="3"/>
  <c r="I66" i="3" s="1"/>
  <c r="H52" i="3"/>
  <c r="H50" i="3"/>
  <c r="H51" i="3"/>
  <c r="I48" i="3"/>
  <c r="C17" i="13"/>
  <c r="E17" i="13" s="1"/>
  <c r="F17" i="13" s="1"/>
  <c r="E49" i="3"/>
  <c r="J48" i="3"/>
  <c r="D66" i="3"/>
  <c r="E52" i="3"/>
  <c r="F48" i="3"/>
  <c r="E51" i="3"/>
  <c r="E50" i="3"/>
  <c r="H40" i="3"/>
  <c r="H37" i="3"/>
  <c r="H43" i="3"/>
  <c r="H34" i="3"/>
  <c r="H27" i="3"/>
  <c r="H30" i="3"/>
  <c r="H33" i="3"/>
  <c r="H39" i="3"/>
  <c r="H44" i="3"/>
  <c r="H35" i="3"/>
  <c r="D63" i="11"/>
  <c r="H36" i="3"/>
  <c r="H26" i="3"/>
  <c r="H32" i="3"/>
  <c r="H28" i="3"/>
  <c r="H31" i="3"/>
  <c r="H29" i="3"/>
  <c r="H38" i="3"/>
  <c r="H41" i="3"/>
  <c r="I25" i="3"/>
  <c r="H42" i="3"/>
  <c r="E35" i="3"/>
  <c r="C10" i="13"/>
  <c r="E10" i="13" s="1"/>
  <c r="F10" i="13" s="1"/>
  <c r="E41" i="3"/>
  <c r="E37" i="3"/>
  <c r="E28" i="3"/>
  <c r="E36" i="3"/>
  <c r="E32" i="3"/>
  <c r="E29" i="3"/>
  <c r="E27" i="3"/>
  <c r="F25" i="3"/>
  <c r="E42" i="3"/>
  <c r="E44" i="3"/>
  <c r="E26" i="3"/>
  <c r="E31" i="3"/>
  <c r="E34" i="3"/>
  <c r="E39" i="3"/>
  <c r="C12" i="5"/>
  <c r="E43" i="3"/>
  <c r="J25" i="3"/>
  <c r="E38" i="3"/>
  <c r="E30" i="3"/>
  <c r="E40" i="3"/>
  <c r="E33" i="3"/>
  <c r="H17" i="3"/>
  <c r="I17" i="3"/>
  <c r="J17" i="3"/>
  <c r="F17" i="3"/>
  <c r="C58" i="6"/>
  <c r="H16" i="3"/>
  <c r="I16" i="3"/>
  <c r="C57" i="6"/>
  <c r="C22" i="5"/>
  <c r="J16" i="3"/>
  <c r="E16" i="3"/>
  <c r="F16" i="3"/>
  <c r="G46" i="3"/>
  <c r="I46" i="3" s="1"/>
  <c r="I15" i="3"/>
  <c r="G64" i="3"/>
  <c r="I64" i="3" s="1"/>
  <c r="H15" i="3"/>
  <c r="J15" i="3"/>
  <c r="E15" i="3"/>
  <c r="C14" i="5"/>
  <c r="C62" i="5" s="1"/>
  <c r="D64" i="3"/>
  <c r="D46" i="3"/>
  <c r="F15" i="3"/>
  <c r="I14" i="3"/>
  <c r="H14" i="3"/>
  <c r="J14" i="3"/>
  <c r="E14" i="3"/>
  <c r="F14" i="3"/>
  <c r="C7" i="13"/>
  <c r="E7" i="13" s="1"/>
  <c r="F7" i="13" s="1"/>
  <c r="H13" i="3"/>
  <c r="I13" i="3"/>
  <c r="J13" i="3"/>
  <c r="F13" i="3"/>
  <c r="C9" i="13"/>
  <c r="E9" i="13" s="1"/>
  <c r="F9" i="13" s="1"/>
  <c r="C6" i="13"/>
  <c r="E6" i="13" s="1"/>
  <c r="F6" i="13" s="1"/>
  <c r="I12" i="3"/>
  <c r="H12" i="3"/>
  <c r="G18" i="3"/>
  <c r="C13" i="13" s="1"/>
  <c r="E13" i="13" s="1"/>
  <c r="F13" i="13" s="1"/>
  <c r="E12" i="3"/>
  <c r="C20" i="5"/>
  <c r="C21" i="5" s="1"/>
  <c r="F12" i="3"/>
  <c r="J12" i="3"/>
  <c r="C5" i="13"/>
  <c r="E5" i="13" s="1"/>
  <c r="F5" i="13" s="1"/>
  <c r="C53" i="6"/>
  <c r="D18" i="3"/>
  <c r="C12" i="13" s="1"/>
  <c r="E12" i="13" s="1"/>
  <c r="F12" i="13" s="1"/>
  <c r="H11" i="3"/>
  <c r="I10" i="3"/>
  <c r="E13" i="3"/>
  <c r="F10" i="3"/>
  <c r="E17" i="3"/>
  <c r="E11" i="3"/>
  <c r="C11" i="5"/>
  <c r="J10" i="3"/>
  <c r="I49" i="3"/>
  <c r="I27" i="3"/>
  <c r="I57" i="3"/>
  <c r="I5" i="3"/>
  <c r="I39" i="3"/>
  <c r="I35" i="3"/>
  <c r="I56" i="3"/>
  <c r="I34" i="3"/>
  <c r="I33" i="3"/>
  <c r="I54" i="3"/>
  <c r="I37" i="3"/>
  <c r="I40" i="3"/>
  <c r="H9" i="3"/>
  <c r="H7" i="3"/>
  <c r="I8" i="3"/>
  <c r="I31" i="3"/>
  <c r="I30" i="3"/>
  <c r="I9" i="3"/>
  <c r="I6" i="3"/>
  <c r="H6" i="3"/>
  <c r="I36" i="3"/>
  <c r="I55" i="3"/>
  <c r="I11" i="3"/>
  <c r="G24" i="3"/>
  <c r="I26" i="3"/>
  <c r="I44" i="3"/>
  <c r="I28" i="3"/>
  <c r="H8" i="3"/>
  <c r="I38" i="3"/>
  <c r="I29" i="3"/>
  <c r="I42" i="3"/>
  <c r="I7" i="3"/>
  <c r="I32" i="3"/>
  <c r="I43" i="3"/>
  <c r="C71" i="11"/>
  <c r="I41" i="3"/>
  <c r="I51" i="3"/>
  <c r="I52" i="3"/>
  <c r="F43" i="3"/>
  <c r="F30" i="3"/>
  <c r="F42" i="3"/>
  <c r="F29" i="3"/>
  <c r="F28" i="3"/>
  <c r="F6" i="3"/>
  <c r="F57" i="3"/>
  <c r="F34" i="3"/>
  <c r="F32" i="3"/>
  <c r="F7" i="3"/>
  <c r="E9" i="3"/>
  <c r="E8" i="3"/>
  <c r="E6" i="3"/>
  <c r="D24" i="3"/>
  <c r="F8" i="3"/>
  <c r="E7" i="3"/>
  <c r="F37" i="3"/>
  <c r="F39" i="3"/>
  <c r="F38" i="3"/>
  <c r="F40" i="3"/>
  <c r="F26" i="3"/>
  <c r="F49" i="3"/>
  <c r="J5" i="3"/>
  <c r="F62" i="3"/>
  <c r="F50" i="3"/>
  <c r="F11" i="3"/>
  <c r="F27" i="3"/>
  <c r="F56" i="3"/>
  <c r="F41" i="3"/>
  <c r="C11" i="13"/>
  <c r="E11" i="13" s="1"/>
  <c r="F11" i="13" s="1"/>
  <c r="F36" i="3"/>
  <c r="F54" i="3"/>
  <c r="F33" i="3"/>
  <c r="F52" i="3"/>
  <c r="F51" i="3"/>
  <c r="C7" i="5"/>
  <c r="F31" i="3"/>
  <c r="C81" i="5" l="1"/>
  <c r="F62" i="5"/>
  <c r="C16" i="7"/>
  <c r="C14" i="7"/>
  <c r="C29" i="6"/>
  <c r="C30" i="6"/>
  <c r="H16" i="11"/>
  <c r="D18" i="11"/>
  <c r="E16" i="11"/>
  <c r="F16" i="11" s="1"/>
  <c r="G16" i="11"/>
  <c r="C18" i="11"/>
  <c r="D9" i="11"/>
  <c r="E9" i="11" s="1"/>
  <c r="F9" i="11"/>
  <c r="E20" i="7"/>
  <c r="H20" i="7"/>
  <c r="D21" i="7" s="1"/>
  <c r="C90" i="6"/>
  <c r="C103" i="6"/>
  <c r="C17" i="7"/>
  <c r="H115" i="6"/>
  <c r="H116" i="6"/>
  <c r="C67" i="9" s="1"/>
  <c r="F47" i="8"/>
  <c r="I47" i="8"/>
  <c r="K47" i="8"/>
  <c r="N47" i="8"/>
  <c r="G47" i="8"/>
  <c r="J47" i="8"/>
  <c r="M47" i="8"/>
  <c r="E47" i="8"/>
  <c r="H47" i="8"/>
  <c r="L47" i="8"/>
  <c r="J46" i="8"/>
  <c r="M46" i="8"/>
  <c r="N46" i="8"/>
  <c r="E46" i="8"/>
  <c r="G46" i="8"/>
  <c r="H46" i="8"/>
  <c r="K46" i="8"/>
  <c r="F46" i="8"/>
  <c r="I46" i="8"/>
  <c r="L46" i="8"/>
  <c r="M45" i="8"/>
  <c r="N45" i="8"/>
  <c r="E45" i="8"/>
  <c r="L45" i="8"/>
  <c r="G45" i="8"/>
  <c r="J45" i="8"/>
  <c r="F45" i="8"/>
  <c r="H45" i="8"/>
  <c r="I45" i="8"/>
  <c r="K45" i="8"/>
  <c r="F44" i="8"/>
  <c r="H44" i="8"/>
  <c r="K44" i="8"/>
  <c r="L44" i="8"/>
  <c r="G44" i="8"/>
  <c r="J44" i="8"/>
  <c r="E44" i="8"/>
  <c r="I44" i="8"/>
  <c r="M44" i="8"/>
  <c r="N44" i="8"/>
  <c r="K43" i="8"/>
  <c r="F43" i="8"/>
  <c r="I43" i="8"/>
  <c r="E43" i="8"/>
  <c r="G43" i="8"/>
  <c r="J43" i="8"/>
  <c r="M43" i="8"/>
  <c r="H43" i="8"/>
  <c r="L43" i="8"/>
  <c r="N43" i="8"/>
  <c r="G42" i="8"/>
  <c r="J42" i="8"/>
  <c r="M42" i="8"/>
  <c r="N42" i="8"/>
  <c r="F42" i="8"/>
  <c r="K42" i="8"/>
  <c r="E42" i="8"/>
  <c r="I42" i="8"/>
  <c r="L42" i="8"/>
  <c r="H42" i="8"/>
  <c r="I41" i="8"/>
  <c r="K41" i="8"/>
  <c r="M41" i="8"/>
  <c r="E41" i="8"/>
  <c r="G41" i="8"/>
  <c r="H41" i="8"/>
  <c r="L41" i="8"/>
  <c r="N41" i="8"/>
  <c r="F41" i="8"/>
  <c r="J41" i="8"/>
  <c r="E40" i="8"/>
  <c r="F40" i="8"/>
  <c r="G40" i="8"/>
  <c r="H40" i="8"/>
  <c r="I40" i="8"/>
  <c r="J40" i="8"/>
  <c r="K40" i="8"/>
  <c r="L40" i="8"/>
  <c r="N40" i="8"/>
  <c r="M40" i="8"/>
  <c r="E39" i="8"/>
  <c r="F39" i="8"/>
  <c r="G39" i="8"/>
  <c r="H39" i="8"/>
  <c r="I39" i="8"/>
  <c r="J39" i="8"/>
  <c r="K39" i="8"/>
  <c r="L39" i="8"/>
  <c r="M39" i="8"/>
  <c r="N39" i="8"/>
  <c r="E38" i="8"/>
  <c r="F38" i="8"/>
  <c r="G38" i="8"/>
  <c r="H38" i="8"/>
  <c r="I38" i="8"/>
  <c r="J38" i="8"/>
  <c r="K38" i="8"/>
  <c r="L38" i="8"/>
  <c r="M38" i="8"/>
  <c r="N38" i="8"/>
  <c r="E37" i="8"/>
  <c r="F37" i="8"/>
  <c r="G37" i="8"/>
  <c r="H37" i="8"/>
  <c r="I37" i="8"/>
  <c r="J37" i="8"/>
  <c r="K37" i="8"/>
  <c r="L37" i="8"/>
  <c r="M37" i="8"/>
  <c r="N37" i="8"/>
  <c r="E36" i="8"/>
  <c r="F36" i="8"/>
  <c r="G36" i="8"/>
  <c r="H36" i="8"/>
  <c r="I36" i="8"/>
  <c r="J36" i="8"/>
  <c r="K36" i="8"/>
  <c r="L36" i="8"/>
  <c r="M36" i="8"/>
  <c r="N36" i="8"/>
  <c r="E35" i="8"/>
  <c r="F35" i="8"/>
  <c r="G35" i="8"/>
  <c r="H35" i="8"/>
  <c r="I35" i="8"/>
  <c r="J35" i="8"/>
  <c r="K35" i="8"/>
  <c r="L35" i="8"/>
  <c r="M35" i="8"/>
  <c r="N35" i="8"/>
  <c r="E34" i="8"/>
  <c r="F34" i="8"/>
  <c r="G34" i="8"/>
  <c r="G33" i="8" s="1"/>
  <c r="H34" i="8"/>
  <c r="H33" i="8" s="1"/>
  <c r="I34" i="8"/>
  <c r="I33" i="8" s="1"/>
  <c r="J34" i="8"/>
  <c r="J33" i="8" s="1"/>
  <c r="K34" i="8"/>
  <c r="K33" i="8" s="1"/>
  <c r="L34" i="8"/>
  <c r="L33" i="8" s="1"/>
  <c r="M34" i="8"/>
  <c r="M33" i="8" s="1"/>
  <c r="N34" i="8"/>
  <c r="N33" i="8" s="1"/>
  <c r="D33" i="8"/>
  <c r="E31" i="8"/>
  <c r="F31" i="8"/>
  <c r="G31" i="8"/>
  <c r="H31" i="8"/>
  <c r="I31" i="8"/>
  <c r="J31" i="8"/>
  <c r="K31" i="8"/>
  <c r="L31" i="8"/>
  <c r="M31" i="8"/>
  <c r="N31" i="8"/>
  <c r="D16" i="8"/>
  <c r="C93" i="6"/>
  <c r="D30" i="8"/>
  <c r="D29" i="8"/>
  <c r="D28" i="8"/>
  <c r="D10" i="8"/>
  <c r="C25" i="6"/>
  <c r="C24" i="6"/>
  <c r="C58" i="9"/>
  <c r="H69" i="5"/>
  <c r="C21" i="9" s="1"/>
  <c r="H68" i="5"/>
  <c r="C73" i="5" s="1"/>
  <c r="C74" i="5" s="1"/>
  <c r="C8" i="13"/>
  <c r="H98" i="9"/>
  <c r="E57" i="11"/>
  <c r="F57" i="11"/>
  <c r="C34" i="5"/>
  <c r="C35" i="6"/>
  <c r="C31" i="11"/>
  <c r="C10" i="1" s="1"/>
  <c r="C32" i="11"/>
  <c r="C11" i="1" s="1"/>
  <c r="C87" i="5"/>
  <c r="C48" i="5"/>
  <c r="C49" i="5"/>
  <c r="C14" i="9"/>
  <c r="C62" i="9"/>
  <c r="C16" i="9"/>
  <c r="C15" i="9"/>
  <c r="C8" i="10" s="1"/>
  <c r="C13" i="1"/>
  <c r="E13" i="4"/>
  <c r="C37" i="11"/>
  <c r="E37" i="11" s="1"/>
  <c r="D8" i="13"/>
  <c r="J67" i="3"/>
  <c r="F67" i="3"/>
  <c r="F66" i="3"/>
  <c r="J66" i="3"/>
  <c r="C17" i="5"/>
  <c r="C19" i="5" s="1"/>
  <c r="F98" i="9"/>
  <c r="C63" i="11"/>
  <c r="D18" i="8"/>
  <c r="D17" i="8"/>
  <c r="C63" i="5"/>
  <c r="C110" i="6"/>
  <c r="F110" i="6" s="1"/>
  <c r="J64" i="3"/>
  <c r="F64" i="3"/>
  <c r="J46" i="3"/>
  <c r="F46" i="3"/>
  <c r="I18" i="3"/>
  <c r="H18" i="3"/>
  <c r="C32" i="5"/>
  <c r="C33" i="5" s="1"/>
  <c r="C23" i="5"/>
  <c r="C24" i="5" s="1"/>
  <c r="C53" i="11"/>
  <c r="C61" i="5"/>
  <c r="C34" i="6"/>
  <c r="D13" i="8"/>
  <c r="D19" i="3"/>
  <c r="D14" i="13"/>
  <c r="E18" i="3"/>
  <c r="D22" i="3"/>
  <c r="J18" i="3"/>
  <c r="D20" i="3"/>
  <c r="D23" i="3"/>
  <c r="D21" i="3"/>
  <c r="F18" i="3"/>
  <c r="D98" i="9"/>
  <c r="G45" i="3"/>
  <c r="I24" i="3"/>
  <c r="C15" i="13"/>
  <c r="E15" i="13" s="1"/>
  <c r="F15" i="13" s="1"/>
  <c r="D45" i="3"/>
  <c r="F24" i="3"/>
  <c r="J24" i="3"/>
  <c r="E38" i="11"/>
  <c r="E40" i="11"/>
  <c r="E41" i="11"/>
  <c r="E39" i="11"/>
  <c r="C23" i="1"/>
  <c r="C98" i="9"/>
  <c r="F59" i="11"/>
  <c r="C8" i="5"/>
  <c r="G8" i="11"/>
  <c r="G7" i="11"/>
  <c r="G6" i="11"/>
  <c r="G9" i="11" s="1"/>
  <c r="D27" i="11"/>
  <c r="D29" i="11" s="1"/>
  <c r="D9" i="1" s="1"/>
  <c r="C55" i="6"/>
  <c r="C54" i="6"/>
  <c r="C67" i="11"/>
  <c r="C66" i="11"/>
  <c r="C94" i="6" l="1"/>
  <c r="C15" i="7"/>
  <c r="E8" i="13"/>
  <c r="F8" i="13" s="1"/>
  <c r="C50" i="6"/>
  <c r="C32" i="6"/>
  <c r="C57" i="9" s="1"/>
  <c r="H18" i="11"/>
  <c r="D23" i="11" s="1"/>
  <c r="E23" i="11" s="1"/>
  <c r="I23" i="11"/>
  <c r="E18" i="11"/>
  <c r="G18" i="11"/>
  <c r="E21" i="7"/>
  <c r="F21" i="7"/>
  <c r="H21" i="7" s="1"/>
  <c r="D22" i="7" s="1"/>
  <c r="D25" i="8"/>
  <c r="G20" i="7"/>
  <c r="C102" i="6"/>
  <c r="C89" i="6"/>
  <c r="D90" i="6" s="1"/>
  <c r="O34" i="8"/>
  <c r="E33" i="8"/>
  <c r="O33" i="8" s="1"/>
  <c r="F16" i="8"/>
  <c r="H16" i="8"/>
  <c r="I16" i="8"/>
  <c r="K16" i="8"/>
  <c r="E16" i="8"/>
  <c r="G16" i="8"/>
  <c r="J16" i="8"/>
  <c r="L16" i="8"/>
  <c r="M16" i="8"/>
  <c r="N16" i="8"/>
  <c r="E30" i="8"/>
  <c r="F30" i="8"/>
  <c r="G30" i="8"/>
  <c r="H30" i="8"/>
  <c r="I30" i="8"/>
  <c r="J30" i="8"/>
  <c r="K30" i="8"/>
  <c r="L30" i="8"/>
  <c r="M30" i="8"/>
  <c r="N30" i="8"/>
  <c r="E29" i="8"/>
  <c r="F29" i="8"/>
  <c r="G29" i="8"/>
  <c r="H29" i="8"/>
  <c r="I29" i="8"/>
  <c r="J29" i="8"/>
  <c r="K29" i="8"/>
  <c r="L29" i="8"/>
  <c r="M29" i="8"/>
  <c r="N29" i="8"/>
  <c r="E28" i="8"/>
  <c r="F28" i="8"/>
  <c r="G28" i="8"/>
  <c r="H28" i="8"/>
  <c r="I28" i="8"/>
  <c r="J28" i="8"/>
  <c r="K28" i="8"/>
  <c r="L28" i="8"/>
  <c r="M28" i="8"/>
  <c r="N28" i="8"/>
  <c r="F10" i="8"/>
  <c r="H10" i="8"/>
  <c r="I10" i="8"/>
  <c r="K10" i="8"/>
  <c r="L10" i="8"/>
  <c r="M10" i="8"/>
  <c r="E10" i="8"/>
  <c r="G10" i="8"/>
  <c r="J10" i="8"/>
  <c r="N10" i="8"/>
  <c r="C61" i="9"/>
  <c r="H8" i="10" s="1"/>
  <c r="C49" i="6"/>
  <c r="D13" i="1"/>
  <c r="C60" i="9"/>
  <c r="T83" i="9"/>
  <c r="X82" i="9"/>
  <c r="T86" i="9"/>
  <c r="X81" i="9"/>
  <c r="T81" i="9"/>
  <c r="T82" i="9"/>
  <c r="V82" i="9"/>
  <c r="X87" i="9"/>
  <c r="V87" i="9"/>
  <c r="X86" i="9"/>
  <c r="V85" i="9"/>
  <c r="T85" i="9"/>
  <c r="X84" i="9"/>
  <c r="V86" i="9"/>
  <c r="T84" i="9"/>
  <c r="V83" i="9"/>
  <c r="V81" i="9"/>
  <c r="C74" i="9"/>
  <c r="X83" i="9"/>
  <c r="T87" i="9"/>
  <c r="V84" i="9"/>
  <c r="X85" i="9"/>
  <c r="D30" i="11"/>
  <c r="C112" i="6"/>
  <c r="F112" i="6" s="1"/>
  <c r="F117" i="6" s="1"/>
  <c r="C68" i="9" s="1"/>
  <c r="C29" i="9"/>
  <c r="C119" i="6"/>
  <c r="C10" i="9"/>
  <c r="C56" i="9"/>
  <c r="C75" i="5"/>
  <c r="D8" i="10"/>
  <c r="C113" i="6"/>
  <c r="F113" i="6" s="1"/>
  <c r="C66" i="5"/>
  <c r="E63" i="11"/>
  <c r="F63" i="11"/>
  <c r="E18" i="8"/>
  <c r="F18" i="8"/>
  <c r="G18" i="8"/>
  <c r="H18" i="8"/>
  <c r="I18" i="8"/>
  <c r="J18" i="8"/>
  <c r="K18" i="8"/>
  <c r="L18" i="8"/>
  <c r="M18" i="8"/>
  <c r="N18" i="8"/>
  <c r="F17" i="8"/>
  <c r="G17" i="8"/>
  <c r="H17" i="8"/>
  <c r="I17" i="8"/>
  <c r="J17" i="8"/>
  <c r="K17" i="8"/>
  <c r="L17" i="8"/>
  <c r="M17" i="8"/>
  <c r="N17" i="8"/>
  <c r="E17" i="8"/>
  <c r="F63" i="5"/>
  <c r="C82" i="5"/>
  <c r="C80" i="5"/>
  <c r="F61" i="5"/>
  <c r="C108" i="6"/>
  <c r="C71" i="9"/>
  <c r="G13" i="8"/>
  <c r="I13" i="8"/>
  <c r="J13" i="8"/>
  <c r="L13" i="8"/>
  <c r="M13" i="8"/>
  <c r="N13" i="8"/>
  <c r="E13" i="8"/>
  <c r="F13" i="8"/>
  <c r="H13" i="8"/>
  <c r="K13" i="8"/>
  <c r="C14" i="13"/>
  <c r="E14" i="13" s="1"/>
  <c r="F14" i="13" s="1"/>
  <c r="E19" i="3"/>
  <c r="F19" i="3"/>
  <c r="F22" i="3"/>
  <c r="E22" i="3"/>
  <c r="E20" i="3"/>
  <c r="F20" i="3"/>
  <c r="F23" i="3"/>
  <c r="E23" i="3"/>
  <c r="F21" i="3"/>
  <c r="E21" i="3"/>
  <c r="C54" i="5"/>
  <c r="C56" i="5"/>
  <c r="C64" i="5"/>
  <c r="C68" i="5" s="1"/>
  <c r="C53" i="5"/>
  <c r="C55" i="5"/>
  <c r="C57" i="5"/>
  <c r="C21" i="13"/>
  <c r="E21" i="13" s="1"/>
  <c r="F21" i="13" s="1"/>
  <c r="I45" i="3"/>
  <c r="G58" i="3"/>
  <c r="G47" i="3"/>
  <c r="I47" i="3" s="1"/>
  <c r="D47" i="3"/>
  <c r="F45" i="3"/>
  <c r="D58" i="3"/>
  <c r="J45" i="3"/>
  <c r="C13" i="5"/>
  <c r="C16" i="13"/>
  <c r="E16" i="13" s="1"/>
  <c r="F16" i="13" s="1"/>
  <c r="C23" i="13"/>
  <c r="C10" i="5"/>
  <c r="C11" i="9"/>
  <c r="D15" i="8"/>
  <c r="D14" i="8"/>
  <c r="O47" i="8"/>
  <c r="O46" i="8"/>
  <c r="O45" i="8"/>
  <c r="O44" i="8"/>
  <c r="O43" i="8"/>
  <c r="F33" i="8"/>
  <c r="O31" i="8"/>
  <c r="O42" i="8"/>
  <c r="O41" i="8"/>
  <c r="O40" i="8"/>
  <c r="O39" i="8"/>
  <c r="O38" i="8"/>
  <c r="O37" i="8"/>
  <c r="O36" i="8"/>
  <c r="O35" i="8"/>
  <c r="G98" i="9"/>
  <c r="E98" i="9"/>
  <c r="C36" i="6"/>
  <c r="C71" i="6" s="1"/>
  <c r="C26" i="6"/>
  <c r="C65" i="5"/>
  <c r="C25" i="9"/>
  <c r="D9" i="8" l="1"/>
  <c r="E25" i="8"/>
  <c r="G21" i="7"/>
  <c r="E22" i="7"/>
  <c r="F22" i="7" s="1"/>
  <c r="H22" i="7" s="1"/>
  <c r="D23" i="7" s="1"/>
  <c r="O28" i="8"/>
  <c r="I8" i="10"/>
  <c r="C48" i="6"/>
  <c r="D8" i="8"/>
  <c r="D49" i="6"/>
  <c r="C75" i="9"/>
  <c r="D31" i="11"/>
  <c r="D10" i="1" s="1"/>
  <c r="D32" i="11"/>
  <c r="D11" i="1" s="1"/>
  <c r="Q40" i="9"/>
  <c r="Q38" i="9"/>
  <c r="Q41" i="9"/>
  <c r="Q35" i="9"/>
  <c r="Q36" i="9"/>
  <c r="Q39" i="9"/>
  <c r="Q37" i="9"/>
  <c r="Q84" i="9"/>
  <c r="Q85" i="9"/>
  <c r="Q81" i="9"/>
  <c r="Q86" i="9"/>
  <c r="Q83" i="9"/>
  <c r="Q82" i="9"/>
  <c r="Q87" i="9"/>
  <c r="C85" i="5"/>
  <c r="F66" i="5"/>
  <c r="F69" i="5"/>
  <c r="C19" i="9" s="1"/>
  <c r="F108" i="6"/>
  <c r="O13" i="8"/>
  <c r="F54" i="5"/>
  <c r="C40" i="6"/>
  <c r="F56" i="5"/>
  <c r="C42" i="6"/>
  <c r="G64" i="5"/>
  <c r="C83" i="5"/>
  <c r="C88" i="5" s="1"/>
  <c r="D80" i="5" s="1"/>
  <c r="F83" i="5"/>
  <c r="C58" i="5"/>
  <c r="F58" i="5" s="1"/>
  <c r="C39" i="6"/>
  <c r="F53" i="5"/>
  <c r="C41" i="6"/>
  <c r="F55" i="5"/>
  <c r="C43" i="6"/>
  <c r="F57" i="5"/>
  <c r="I58" i="3"/>
  <c r="G60" i="3"/>
  <c r="D36" i="11"/>
  <c r="D42" i="11" s="1"/>
  <c r="D43" i="11" s="1"/>
  <c r="J47" i="3"/>
  <c r="D23" i="13"/>
  <c r="E23" i="13" s="1"/>
  <c r="F23" i="13" s="1"/>
  <c r="D25" i="13"/>
  <c r="F47" i="3"/>
  <c r="J58" i="3"/>
  <c r="F58" i="3"/>
  <c r="C36" i="11"/>
  <c r="C19" i="13"/>
  <c r="E19" i="13" s="1"/>
  <c r="F19" i="13" s="1"/>
  <c r="D60" i="3"/>
  <c r="C5" i="1"/>
  <c r="C6" i="1"/>
  <c r="C15" i="5"/>
  <c r="I98" i="9"/>
  <c r="E15" i="8"/>
  <c r="G15" i="8"/>
  <c r="H15" i="8"/>
  <c r="J15" i="8"/>
  <c r="L15" i="8"/>
  <c r="F15" i="8"/>
  <c r="I15" i="8"/>
  <c r="K15" i="8"/>
  <c r="M15" i="8"/>
  <c r="N15" i="8"/>
  <c r="F14" i="8"/>
  <c r="H14" i="8"/>
  <c r="I14" i="8"/>
  <c r="K14" i="8"/>
  <c r="M14" i="8"/>
  <c r="E14" i="8"/>
  <c r="G14" i="8"/>
  <c r="J14" i="8"/>
  <c r="L14" i="8"/>
  <c r="N14" i="8"/>
  <c r="D32" i="8"/>
  <c r="E71" i="6"/>
  <c r="C66" i="6"/>
  <c r="D71" i="6" s="1"/>
  <c r="F65" i="5"/>
  <c r="C84" i="5"/>
  <c r="O30" i="8"/>
  <c r="O29" i="8"/>
  <c r="O10" i="8"/>
  <c r="O17" i="8"/>
  <c r="O16" i="8"/>
  <c r="O18" i="8"/>
  <c r="E20" i="11"/>
  <c r="F18" i="11"/>
  <c r="E9" i="8" l="1"/>
  <c r="F9" i="8"/>
  <c r="G9" i="8"/>
  <c r="H9" i="8"/>
  <c r="I9" i="8"/>
  <c r="J9" i="8"/>
  <c r="K9" i="8"/>
  <c r="L9" i="8"/>
  <c r="N9" i="8"/>
  <c r="M9" i="8"/>
  <c r="G22" i="7"/>
  <c r="F25" i="8"/>
  <c r="E23" i="7"/>
  <c r="E89" i="6"/>
  <c r="E90" i="6"/>
  <c r="E54" i="6"/>
  <c r="E55" i="6"/>
  <c r="E51" i="6"/>
  <c r="E53" i="6"/>
  <c r="E57" i="6"/>
  <c r="E58" i="6"/>
  <c r="D51" i="6"/>
  <c r="E68" i="6"/>
  <c r="E67" i="6"/>
  <c r="E69" i="6"/>
  <c r="E93" i="6"/>
  <c r="E56" i="6"/>
  <c r="E72" i="6"/>
  <c r="E73" i="6"/>
  <c r="E77" i="6"/>
  <c r="E76" i="6"/>
  <c r="E70" i="6"/>
  <c r="E74" i="6"/>
  <c r="E75" i="6"/>
  <c r="E78" i="6"/>
  <c r="E80" i="6"/>
  <c r="E81" i="6"/>
  <c r="E82" i="6"/>
  <c r="E83" i="6"/>
  <c r="E84" i="6"/>
  <c r="E85" i="6"/>
  <c r="E86" i="6"/>
  <c r="E94" i="6"/>
  <c r="E79" i="6"/>
  <c r="C99" i="9"/>
  <c r="H99" i="9" s="1"/>
  <c r="D28" i="13"/>
  <c r="E48" i="6"/>
  <c r="D23" i="1"/>
  <c r="G8" i="8"/>
  <c r="G7" i="8" s="1"/>
  <c r="J8" i="8"/>
  <c r="J7" i="8" s="1"/>
  <c r="M8" i="8"/>
  <c r="M7" i="8" s="1"/>
  <c r="D7" i="8"/>
  <c r="E8" i="8"/>
  <c r="F8" i="8"/>
  <c r="F7" i="8" s="1"/>
  <c r="H8" i="8"/>
  <c r="H7" i="8" s="1"/>
  <c r="I8" i="8"/>
  <c r="I7" i="8" s="1"/>
  <c r="K8" i="8"/>
  <c r="K7" i="8" s="1"/>
  <c r="L8" i="8"/>
  <c r="L7" i="8" s="1"/>
  <c r="N8" i="8"/>
  <c r="N7" i="8" s="1"/>
  <c r="D82" i="5"/>
  <c r="D87" i="5"/>
  <c r="D86" i="5"/>
  <c r="D81" i="5"/>
  <c r="F116" i="6"/>
  <c r="C65" i="9" s="1"/>
  <c r="F115" i="6"/>
  <c r="C52" i="9" s="1"/>
  <c r="D40" i="6"/>
  <c r="G40" i="6"/>
  <c r="C61" i="6" s="1"/>
  <c r="D42" i="6"/>
  <c r="G42" i="6"/>
  <c r="C63" i="6" s="1"/>
  <c r="G68" i="5"/>
  <c r="G69" i="5"/>
  <c r="C20" i="9" s="1"/>
  <c r="D39" i="6"/>
  <c r="G39" i="6"/>
  <c r="C44" i="6"/>
  <c r="D41" i="6"/>
  <c r="G41" i="6"/>
  <c r="C62" i="6" s="1"/>
  <c r="G43" i="6"/>
  <c r="C64" i="6" s="1"/>
  <c r="D43" i="6"/>
  <c r="G61" i="3"/>
  <c r="I60" i="3"/>
  <c r="C22" i="13"/>
  <c r="E22" i="13" s="1"/>
  <c r="F22" i="13" s="1"/>
  <c r="E36" i="11"/>
  <c r="C42" i="11"/>
  <c r="D61" i="3"/>
  <c r="F60" i="3"/>
  <c r="C20" i="13"/>
  <c r="E20" i="13" s="1"/>
  <c r="F20" i="13" s="1"/>
  <c r="C24" i="13"/>
  <c r="J60" i="3"/>
  <c r="C7" i="1"/>
  <c r="C8" i="1"/>
  <c r="D27" i="8"/>
  <c r="E32" i="8"/>
  <c r="F32" i="8"/>
  <c r="F27" i="8" s="1"/>
  <c r="G32" i="8"/>
  <c r="G27" i="8" s="1"/>
  <c r="H32" i="8"/>
  <c r="H27" i="8" s="1"/>
  <c r="I32" i="8"/>
  <c r="I27" i="8" s="1"/>
  <c r="J32" i="8"/>
  <c r="J27" i="8" s="1"/>
  <c r="K32" i="8"/>
  <c r="K27" i="8" s="1"/>
  <c r="L32" i="8"/>
  <c r="L27" i="8" s="1"/>
  <c r="M32" i="8"/>
  <c r="M27" i="8" s="1"/>
  <c r="N32" i="8"/>
  <c r="N27" i="8" s="1"/>
  <c r="E66" i="6"/>
  <c r="D66" i="6"/>
  <c r="F99" i="9"/>
  <c r="G99" i="9" s="1"/>
  <c r="D73" i="6"/>
  <c r="D72" i="6"/>
  <c r="D70" i="6"/>
  <c r="D86" i="6"/>
  <c r="D85" i="6"/>
  <c r="D84" i="6"/>
  <c r="D83" i="6"/>
  <c r="D82" i="6"/>
  <c r="D81" i="6"/>
  <c r="D80" i="6"/>
  <c r="D79" i="6"/>
  <c r="D77" i="6"/>
  <c r="D75" i="6"/>
  <c r="D74" i="6"/>
  <c r="D78" i="6"/>
  <c r="D76" i="6"/>
  <c r="D67" i="6"/>
  <c r="D69" i="6"/>
  <c r="D68" i="6"/>
  <c r="D83" i="5"/>
  <c r="O14" i="8"/>
  <c r="D84" i="5"/>
  <c r="D85" i="5"/>
  <c r="O15" i="8"/>
  <c r="E50" i="6"/>
  <c r="D50" i="6"/>
  <c r="E49" i="6"/>
  <c r="F70" i="5"/>
  <c r="C22" i="9" s="1"/>
  <c r="F68" i="5"/>
  <c r="C6" i="9" s="1"/>
  <c r="G25" i="8" l="1"/>
  <c r="C28" i="13"/>
  <c r="E28" i="13" s="1"/>
  <c r="F28" i="13" s="1"/>
  <c r="O8" i="8"/>
  <c r="E7" i="8"/>
  <c r="E61" i="6"/>
  <c r="D21" i="8"/>
  <c r="E63" i="6"/>
  <c r="D23" i="8"/>
  <c r="C7" i="9"/>
  <c r="C72" i="5"/>
  <c r="G44" i="6"/>
  <c r="C60" i="6"/>
  <c r="E62" i="6"/>
  <c r="D22" i="8"/>
  <c r="D24" i="8"/>
  <c r="E64" i="6"/>
  <c r="G65" i="3"/>
  <c r="I61" i="3"/>
  <c r="E42" i="11"/>
  <c r="C43" i="11"/>
  <c r="D65" i="3"/>
  <c r="J61" i="3"/>
  <c r="F61" i="3"/>
  <c r="E27" i="8"/>
  <c r="O27" i="8" s="1"/>
  <c r="O32" i="8"/>
  <c r="E41" i="9"/>
  <c r="E37" i="9"/>
  <c r="E36" i="9"/>
  <c r="E38" i="9"/>
  <c r="E35" i="9"/>
  <c r="O9" i="8"/>
  <c r="D88" i="5"/>
  <c r="F23" i="7"/>
  <c r="G23" i="7" s="1"/>
  <c r="Y41" i="9"/>
  <c r="C41" i="9" s="1"/>
  <c r="W35" i="9"/>
  <c r="U35" i="9"/>
  <c r="Y35" i="9"/>
  <c r="C35" i="9" s="1"/>
  <c r="S35" i="9"/>
  <c r="W36" i="9"/>
  <c r="Y36" i="9"/>
  <c r="C36" i="9" s="1"/>
  <c r="Y39" i="9"/>
  <c r="C39" i="9" s="1"/>
  <c r="W39" i="9"/>
  <c r="C30" i="9" l="1"/>
  <c r="C31" i="9" s="1"/>
  <c r="C32" i="9" s="1"/>
  <c r="U36" i="9"/>
  <c r="S36" i="9"/>
  <c r="E40" i="9"/>
  <c r="E39" i="9"/>
  <c r="E8" i="10"/>
  <c r="U39" i="9"/>
  <c r="S39" i="9"/>
  <c r="Y37" i="9"/>
  <c r="C37" i="9" s="1"/>
  <c r="W37" i="9"/>
  <c r="U37" i="9"/>
  <c r="S37" i="9"/>
  <c r="O7" i="8"/>
  <c r="E21" i="8"/>
  <c r="F21" i="8"/>
  <c r="G21" i="8"/>
  <c r="H21" i="8"/>
  <c r="I21" i="8"/>
  <c r="J21" i="8"/>
  <c r="K21" i="8"/>
  <c r="L21" i="8"/>
  <c r="M21" i="8"/>
  <c r="N21" i="8"/>
  <c r="E23" i="8"/>
  <c r="F23" i="8"/>
  <c r="G23" i="8"/>
  <c r="H23" i="8"/>
  <c r="I23" i="8"/>
  <c r="J23" i="8"/>
  <c r="K23" i="8"/>
  <c r="L23" i="8"/>
  <c r="M23" i="8"/>
  <c r="N23" i="8"/>
  <c r="W41" i="9"/>
  <c r="U41" i="9"/>
  <c r="S41" i="9"/>
  <c r="U38" i="9"/>
  <c r="Y38" i="9"/>
  <c r="C38" i="9" s="1"/>
  <c r="S38" i="9"/>
  <c r="W38" i="9"/>
  <c r="S40" i="9"/>
  <c r="Y40" i="9"/>
  <c r="C40" i="9" s="1"/>
  <c r="U40" i="9"/>
  <c r="W40" i="9"/>
  <c r="G45" i="6"/>
  <c r="C111" i="6"/>
  <c r="C59" i="6"/>
  <c r="E60" i="6"/>
  <c r="D29" i="13"/>
  <c r="D20" i="8"/>
  <c r="E22" i="8"/>
  <c r="F22" i="8"/>
  <c r="G22" i="8"/>
  <c r="H22" i="8"/>
  <c r="I22" i="8"/>
  <c r="J22" i="8"/>
  <c r="K22" i="8"/>
  <c r="L22" i="8"/>
  <c r="M22" i="8"/>
  <c r="N22" i="8"/>
  <c r="E24" i="8"/>
  <c r="F24" i="8"/>
  <c r="G24" i="8"/>
  <c r="H24" i="8"/>
  <c r="I24" i="8"/>
  <c r="J24" i="8"/>
  <c r="K24" i="8"/>
  <c r="L24" i="8"/>
  <c r="M24" i="8"/>
  <c r="N24" i="8"/>
  <c r="I65" i="3"/>
  <c r="G68" i="3"/>
  <c r="I68" i="3" s="1"/>
  <c r="D24" i="13"/>
  <c r="E24" i="13" s="1"/>
  <c r="F24" i="13" s="1"/>
  <c r="D68" i="3"/>
  <c r="F65" i="3"/>
  <c r="J65" i="3"/>
  <c r="D46" i="9"/>
  <c r="C46" i="9"/>
  <c r="H23" i="7"/>
  <c r="D24" i="7" s="1"/>
  <c r="C45" i="9"/>
  <c r="I41" i="9"/>
  <c r="F41" i="9"/>
  <c r="C19" i="1"/>
  <c r="C16" i="1"/>
  <c r="C18" i="1"/>
  <c r="C7" i="10"/>
  <c r="D45" i="9"/>
  <c r="N41" i="9"/>
  <c r="H41" i="9"/>
  <c r="G41" i="9"/>
  <c r="D41" i="9"/>
  <c r="C15" i="1"/>
  <c r="C12" i="1"/>
  <c r="C14" i="1" s="1"/>
  <c r="I35" i="9"/>
  <c r="G35" i="9"/>
  <c r="D35" i="9"/>
  <c r="L35" i="9"/>
  <c r="M35" i="9" s="1"/>
  <c r="H35" i="9"/>
  <c r="C6" i="10"/>
  <c r="N35" i="9"/>
  <c r="J35" i="9"/>
  <c r="F35" i="9"/>
  <c r="H36" i="9"/>
  <c r="I36" i="9"/>
  <c r="N36" i="9" s="1"/>
  <c r="G36" i="9"/>
  <c r="F36" i="9"/>
  <c r="D36" i="9"/>
  <c r="H39" i="9"/>
  <c r="F39" i="9"/>
  <c r="D39" i="9"/>
  <c r="I39" i="9"/>
  <c r="N39" i="9" s="1"/>
  <c r="G39" i="9"/>
  <c r="I37" i="9" l="1"/>
  <c r="G37" i="9"/>
  <c r="J37" i="9" s="1"/>
  <c r="K37" i="9" s="1"/>
  <c r="D37" i="9"/>
  <c r="L37" i="9"/>
  <c r="M37" i="9" s="1"/>
  <c r="H37" i="9"/>
  <c r="F37" i="9"/>
  <c r="J41" i="9"/>
  <c r="K41" i="9" s="1"/>
  <c r="L41" i="9"/>
  <c r="O35" i="9"/>
  <c r="K35" i="9"/>
  <c r="H38" i="9"/>
  <c r="D38" i="9"/>
  <c r="F38" i="9"/>
  <c r="I38" i="9"/>
  <c r="G38" i="9"/>
  <c r="I40" i="9"/>
  <c r="N40" i="9" s="1"/>
  <c r="F40" i="9"/>
  <c r="D40" i="9"/>
  <c r="H40" i="9"/>
  <c r="G40" i="9"/>
  <c r="C115" i="6"/>
  <c r="G111" i="6"/>
  <c r="C52" i="6"/>
  <c r="D59" i="6" s="1"/>
  <c r="E59" i="6"/>
  <c r="C29" i="13"/>
  <c r="E29" i="13" s="1"/>
  <c r="F29" i="13" s="1"/>
  <c r="E20" i="8"/>
  <c r="F20" i="8"/>
  <c r="F19" i="8" s="1"/>
  <c r="F12" i="8" s="1"/>
  <c r="F26" i="8" s="1"/>
  <c r="F48" i="8" s="1"/>
  <c r="G20" i="8"/>
  <c r="G19" i="8" s="1"/>
  <c r="G12" i="8" s="1"/>
  <c r="G26" i="8" s="1"/>
  <c r="G48" i="8" s="1"/>
  <c r="H20" i="8"/>
  <c r="H19" i="8" s="1"/>
  <c r="I20" i="8"/>
  <c r="I19" i="8" s="1"/>
  <c r="J20" i="8"/>
  <c r="J19" i="8" s="1"/>
  <c r="K20" i="8"/>
  <c r="K19" i="8" s="1"/>
  <c r="L20" i="8"/>
  <c r="L19" i="8" s="1"/>
  <c r="M20" i="8"/>
  <c r="M19" i="8" s="1"/>
  <c r="N20" i="8"/>
  <c r="N19" i="8" s="1"/>
  <c r="D19" i="8"/>
  <c r="D12" i="8" s="1"/>
  <c r="D26" i="8" s="1"/>
  <c r="D48" i="8" s="1"/>
  <c r="F68" i="3"/>
  <c r="C25" i="13"/>
  <c r="E25" i="13" s="1"/>
  <c r="F25" i="13" s="1"/>
  <c r="J68" i="3"/>
  <c r="E24" i="7"/>
  <c r="F24" i="7" s="1"/>
  <c r="H24" i="7" s="1"/>
  <c r="D25" i="7" s="1"/>
  <c r="C47" i="9"/>
  <c r="D47" i="9"/>
  <c r="D7" i="10"/>
  <c r="E7" i="10"/>
  <c r="D6" i="10"/>
  <c r="E6" i="10"/>
  <c r="C9" i="10"/>
  <c r="O23" i="8"/>
  <c r="O22" i="8"/>
  <c r="O24" i="8"/>
  <c r="O21" i="8"/>
  <c r="L36" i="9"/>
  <c r="M36" i="9" s="1"/>
  <c r="J36" i="9"/>
  <c r="L39" i="9"/>
  <c r="M39" i="9" s="1"/>
  <c r="J39" i="9"/>
  <c r="N37" i="9" l="1"/>
  <c r="O37" i="9"/>
  <c r="M41" i="9"/>
  <c r="O41" i="9"/>
  <c r="D48" i="9"/>
  <c r="C48" i="9"/>
  <c r="G116" i="6"/>
  <c r="C66" i="9" s="1"/>
  <c r="G115" i="6"/>
  <c r="D60" i="6"/>
  <c r="D64" i="6"/>
  <c r="D62" i="6"/>
  <c r="D63" i="6"/>
  <c r="D61" i="6"/>
  <c r="C65" i="6"/>
  <c r="D54" i="6"/>
  <c r="D55" i="6"/>
  <c r="E52" i="6"/>
  <c r="D99" i="9"/>
  <c r="E99" i="9" s="1"/>
  <c r="D57" i="6"/>
  <c r="D58" i="6"/>
  <c r="D56" i="6"/>
  <c r="D53" i="6"/>
  <c r="O20" i="8"/>
  <c r="E19" i="8"/>
  <c r="F49" i="8"/>
  <c r="F50" i="8"/>
  <c r="G49" i="8"/>
  <c r="G50" i="8"/>
  <c r="D50" i="8"/>
  <c r="D49" i="8"/>
  <c r="C27" i="13"/>
  <c r="E25" i="7"/>
  <c r="F25" i="7" s="1"/>
  <c r="H25" i="7" s="1"/>
  <c r="D26" i="7" s="1"/>
  <c r="G24" i="7"/>
  <c r="H25" i="8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O36" i="9"/>
  <c r="K36" i="9"/>
  <c r="K39" i="9"/>
  <c r="O39" i="9"/>
  <c r="N38" i="9"/>
  <c r="L38" i="9"/>
  <c r="M38" i="9" s="1"/>
  <c r="J38" i="9"/>
  <c r="L40" i="9"/>
  <c r="M40" i="9" s="1"/>
  <c r="J40" i="9"/>
  <c r="C53" i="9" l="1"/>
  <c r="C118" i="6"/>
  <c r="C87" i="6"/>
  <c r="E65" i="6"/>
  <c r="E12" i="8"/>
  <c r="O19" i="8"/>
  <c r="E26" i="7"/>
  <c r="F26" i="7" s="1"/>
  <c r="H26" i="7" s="1"/>
  <c r="D27" i="7" s="1"/>
  <c r="G25" i="7"/>
  <c r="I25" i="8"/>
  <c r="I12" i="8" s="1"/>
  <c r="I26" i="8" s="1"/>
  <c r="I48" i="8" s="1"/>
  <c r="H12" i="8"/>
  <c r="H26" i="8" s="1"/>
  <c r="H48" i="8" s="1"/>
  <c r="D12" i="10"/>
  <c r="C12" i="10"/>
  <c r="E12" i="10" s="1"/>
  <c r="D13" i="10"/>
  <c r="C13" i="10"/>
  <c r="D14" i="10"/>
  <c r="C14" i="10"/>
  <c r="D15" i="10"/>
  <c r="C15" i="10"/>
  <c r="D16" i="10"/>
  <c r="C16" i="10"/>
  <c r="D17" i="10"/>
  <c r="C17" i="10"/>
  <c r="D18" i="10"/>
  <c r="C18" i="10"/>
  <c r="D19" i="10"/>
  <c r="C19" i="10"/>
  <c r="D20" i="10"/>
  <c r="C20" i="10"/>
  <c r="E20" i="10" s="1"/>
  <c r="D21" i="10"/>
  <c r="C21" i="10"/>
  <c r="D22" i="10"/>
  <c r="C22" i="10"/>
  <c r="E22" i="10" s="1"/>
  <c r="D23" i="10"/>
  <c r="C23" i="10"/>
  <c r="E23" i="10" s="1"/>
  <c r="D24" i="10"/>
  <c r="C24" i="10"/>
  <c r="D25" i="10"/>
  <c r="C25" i="10"/>
  <c r="E25" i="10" s="1"/>
  <c r="D26" i="10"/>
  <c r="C26" i="10"/>
  <c r="D27" i="10"/>
  <c r="C27" i="10"/>
  <c r="E27" i="10" s="1"/>
  <c r="D28" i="10"/>
  <c r="C28" i="10"/>
  <c r="D29" i="10"/>
  <c r="C29" i="10"/>
  <c r="D30" i="10"/>
  <c r="C30" i="10"/>
  <c r="D31" i="10"/>
  <c r="C31" i="10"/>
  <c r="D32" i="10"/>
  <c r="C32" i="10"/>
  <c r="O40" i="9"/>
  <c r="K40" i="9"/>
  <c r="K38" i="9"/>
  <c r="O38" i="9"/>
  <c r="E21" i="10" l="1"/>
  <c r="E24" i="10"/>
  <c r="E15" i="10"/>
  <c r="E16" i="10"/>
  <c r="U84" i="9"/>
  <c r="E87" i="9"/>
  <c r="E86" i="9"/>
  <c r="E85" i="9"/>
  <c r="E84" i="9"/>
  <c r="E81" i="9"/>
  <c r="E83" i="9"/>
  <c r="E82" i="9"/>
  <c r="C76" i="9"/>
  <c r="C77" i="9" s="1"/>
  <c r="J8" i="10"/>
  <c r="Y84" i="9"/>
  <c r="C84" i="9" s="1"/>
  <c r="U87" i="9"/>
  <c r="W87" i="9"/>
  <c r="S82" i="9"/>
  <c r="W82" i="9"/>
  <c r="W83" i="9"/>
  <c r="U83" i="9"/>
  <c r="S86" i="9"/>
  <c r="U86" i="9"/>
  <c r="Y86" i="9"/>
  <c r="C86" i="9" s="1"/>
  <c r="W81" i="9"/>
  <c r="Y81" i="9"/>
  <c r="C81" i="9" s="1"/>
  <c r="S81" i="9"/>
  <c r="U85" i="9"/>
  <c r="Y85" i="9"/>
  <c r="C85" i="9" s="1"/>
  <c r="S85" i="9"/>
  <c r="W85" i="9"/>
  <c r="S84" i="9"/>
  <c r="W84" i="9"/>
  <c r="Y87" i="9"/>
  <c r="C87" i="9" s="1"/>
  <c r="S87" i="9"/>
  <c r="U82" i="9"/>
  <c r="Y82" i="9"/>
  <c r="C82" i="9" s="1"/>
  <c r="S83" i="9"/>
  <c r="Y83" i="9"/>
  <c r="C83" i="9" s="1"/>
  <c r="W86" i="9"/>
  <c r="U81" i="9"/>
  <c r="C91" i="6"/>
  <c r="C97" i="6"/>
  <c r="D6" i="1" s="1"/>
  <c r="I99" i="9"/>
  <c r="D5" i="1"/>
  <c r="E87" i="6"/>
  <c r="C88" i="6"/>
  <c r="C26" i="13"/>
  <c r="D27" i="13"/>
  <c r="E27" i="13" s="1"/>
  <c r="F27" i="13" s="1"/>
  <c r="E26" i="8"/>
  <c r="J25" i="8"/>
  <c r="G26" i="7"/>
  <c r="E27" i="7"/>
  <c r="F27" i="7" s="1"/>
  <c r="H27" i="7" s="1"/>
  <c r="D28" i="7" s="1"/>
  <c r="I49" i="8"/>
  <c r="I50" i="8"/>
  <c r="H49" i="8"/>
  <c r="H50" i="8"/>
  <c r="E26" i="10"/>
  <c r="E30" i="10"/>
  <c r="E13" i="10"/>
  <c r="E14" i="10"/>
  <c r="E18" i="10"/>
  <c r="E31" i="10"/>
  <c r="E32" i="10"/>
  <c r="E17" i="10"/>
  <c r="E19" i="10"/>
  <c r="E28" i="10"/>
  <c r="E29" i="10"/>
  <c r="C92" i="9" l="1"/>
  <c r="D92" i="9"/>
  <c r="D26" i="13"/>
  <c r="E26" i="13" s="1"/>
  <c r="F26" i="13" s="1"/>
  <c r="C78" i="9"/>
  <c r="G84" i="9"/>
  <c r="H84" i="9"/>
  <c r="D84" i="9"/>
  <c r="F84" i="9"/>
  <c r="I84" i="9"/>
  <c r="N84" i="9" s="1"/>
  <c r="I86" i="9"/>
  <c r="F86" i="9"/>
  <c r="N86" i="9"/>
  <c r="H86" i="9"/>
  <c r="G86" i="9"/>
  <c r="D86" i="9"/>
  <c r="D12" i="1"/>
  <c r="D14" i="1" s="1"/>
  <c r="I81" i="9"/>
  <c r="F81" i="9"/>
  <c r="D81" i="9"/>
  <c r="D15" i="1"/>
  <c r="H6" i="10"/>
  <c r="H81" i="9"/>
  <c r="G81" i="9"/>
  <c r="H85" i="9"/>
  <c r="F85" i="9"/>
  <c r="D85" i="9"/>
  <c r="I85" i="9"/>
  <c r="N85" i="9" s="1"/>
  <c r="G85" i="9"/>
  <c r="D19" i="1"/>
  <c r="D16" i="1"/>
  <c r="D18" i="1"/>
  <c r="H7" i="10"/>
  <c r="C91" i="9"/>
  <c r="I87" i="9"/>
  <c r="H87" i="9"/>
  <c r="F87" i="9"/>
  <c r="D91" i="9"/>
  <c r="G87" i="9"/>
  <c r="D87" i="9"/>
  <c r="G82" i="9"/>
  <c r="D82" i="9"/>
  <c r="I82" i="9"/>
  <c r="H82" i="9"/>
  <c r="F82" i="9"/>
  <c r="H83" i="9"/>
  <c r="I83" i="9"/>
  <c r="G83" i="9"/>
  <c r="F83" i="9"/>
  <c r="D83" i="9"/>
  <c r="E91" i="6"/>
  <c r="C95" i="6"/>
  <c r="E95" i="6" s="1"/>
  <c r="C104" i="6"/>
  <c r="C98" i="6"/>
  <c r="D8" i="1"/>
  <c r="D7" i="1"/>
  <c r="E88" i="6"/>
  <c r="E48" i="8"/>
  <c r="J12" i="8"/>
  <c r="G27" i="7"/>
  <c r="K25" i="8"/>
  <c r="E28" i="7"/>
  <c r="F28" i="7" s="1"/>
  <c r="H28" i="7" s="1"/>
  <c r="D29" i="7" s="1"/>
  <c r="J81" i="9" l="1"/>
  <c r="L81" i="9"/>
  <c r="O81" i="9" s="1"/>
  <c r="M81" i="9"/>
  <c r="K81" i="9"/>
  <c r="J84" i="9"/>
  <c r="L84" i="9"/>
  <c r="M84" i="9" s="1"/>
  <c r="J82" i="9"/>
  <c r="K82" i="9" s="1"/>
  <c r="L82" i="9"/>
  <c r="I6" i="10"/>
  <c r="J6" i="10"/>
  <c r="H9" i="10"/>
  <c r="I7" i="10"/>
  <c r="J7" i="10"/>
  <c r="C93" i="9"/>
  <c r="D93" i="9"/>
  <c r="D24" i="1"/>
  <c r="C105" i="6"/>
  <c r="E50" i="8"/>
  <c r="E49" i="8"/>
  <c r="F51" i="8"/>
  <c r="H51" i="8"/>
  <c r="E51" i="8"/>
  <c r="G51" i="8"/>
  <c r="I51" i="8"/>
  <c r="J26" i="8"/>
  <c r="G28" i="7"/>
  <c r="L25" i="8"/>
  <c r="E29" i="7"/>
  <c r="F29" i="7" s="1"/>
  <c r="H29" i="7" s="1"/>
  <c r="D30" i="7" s="1"/>
  <c r="L86" i="9"/>
  <c r="M86" i="9" s="1"/>
  <c r="J86" i="9"/>
  <c r="N81" i="9"/>
  <c r="L85" i="9"/>
  <c r="M85" i="9" s="1"/>
  <c r="J85" i="9"/>
  <c r="N87" i="9"/>
  <c r="J87" i="9"/>
  <c r="L87" i="9"/>
  <c r="M87" i="9" s="1"/>
  <c r="N82" i="9"/>
  <c r="N83" i="9"/>
  <c r="L83" i="9"/>
  <c r="M83" i="9" s="1"/>
  <c r="J83" i="9"/>
  <c r="K12" i="8"/>
  <c r="K26" i="8" s="1"/>
  <c r="K48" i="8" s="1"/>
  <c r="O84" i="9" l="1"/>
  <c r="K84" i="9"/>
  <c r="D94" i="9"/>
  <c r="M82" i="9"/>
  <c r="O82" i="9"/>
  <c r="K83" i="9"/>
  <c r="O83" i="9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12" i="10"/>
  <c r="J48" i="8"/>
  <c r="G29" i="7"/>
  <c r="M25" i="8"/>
  <c r="E30" i="7"/>
  <c r="F30" i="7" s="1"/>
  <c r="H30" i="7" s="1"/>
  <c r="D31" i="7" s="1"/>
  <c r="O86" i="9"/>
  <c r="K86" i="9"/>
  <c r="O85" i="9"/>
  <c r="K85" i="9"/>
  <c r="O87" i="9"/>
  <c r="C94" i="9"/>
  <c r="K87" i="9"/>
  <c r="K50" i="8"/>
  <c r="K49" i="8"/>
  <c r="L12" i="8"/>
  <c r="I13" i="10" l="1"/>
  <c r="H13" i="10"/>
  <c r="I14" i="10"/>
  <c r="H14" i="10"/>
  <c r="I15" i="10"/>
  <c r="H15" i="10"/>
  <c r="I16" i="10"/>
  <c r="H16" i="10"/>
  <c r="I17" i="10"/>
  <c r="H17" i="10"/>
  <c r="I18" i="10"/>
  <c r="H18" i="10"/>
  <c r="I19" i="10"/>
  <c r="H19" i="10"/>
  <c r="I20" i="10"/>
  <c r="H20" i="10"/>
  <c r="J20" i="10" s="1"/>
  <c r="I21" i="10"/>
  <c r="H21" i="10"/>
  <c r="I22" i="10"/>
  <c r="H22" i="10"/>
  <c r="I23" i="10"/>
  <c r="H23" i="10"/>
  <c r="I24" i="10"/>
  <c r="H24" i="10"/>
  <c r="I25" i="10"/>
  <c r="H25" i="10"/>
  <c r="I26" i="10"/>
  <c r="H26" i="10"/>
  <c r="I27" i="10"/>
  <c r="H27" i="10"/>
  <c r="I28" i="10"/>
  <c r="H28" i="10"/>
  <c r="I29" i="10"/>
  <c r="H29" i="10"/>
  <c r="I30" i="10"/>
  <c r="H30" i="10"/>
  <c r="I31" i="10"/>
  <c r="H31" i="10"/>
  <c r="I32" i="10"/>
  <c r="H32" i="10"/>
  <c r="I12" i="10"/>
  <c r="H12" i="10"/>
  <c r="K51" i="8"/>
  <c r="J51" i="8"/>
  <c r="J49" i="8"/>
  <c r="J50" i="8"/>
  <c r="E31" i="7"/>
  <c r="F31" i="7" s="1"/>
  <c r="H31" i="7" s="1"/>
  <c r="D32" i="7" s="1"/>
  <c r="N25" i="8"/>
  <c r="G30" i="7"/>
  <c r="L26" i="8"/>
  <c r="L48" i="8" s="1"/>
  <c r="L51" i="8" s="1"/>
  <c r="M12" i="8"/>
  <c r="J18" i="10" l="1"/>
  <c r="J32" i="10"/>
  <c r="J12" i="10"/>
  <c r="J13" i="10"/>
  <c r="J17" i="10"/>
  <c r="J19" i="10"/>
  <c r="J22" i="10"/>
  <c r="J30" i="10"/>
  <c r="J31" i="10"/>
  <c r="J26" i="10"/>
  <c r="J28" i="10"/>
  <c r="J25" i="10"/>
  <c r="J29" i="10"/>
  <c r="J21" i="10"/>
  <c r="J27" i="10"/>
  <c r="N12" i="8"/>
  <c r="O25" i="8"/>
  <c r="M26" i="8"/>
  <c r="E32" i="7"/>
  <c r="F32" i="7" s="1"/>
  <c r="L49" i="8"/>
  <c r="L50" i="8"/>
  <c r="M48" i="8"/>
  <c r="J16" i="10"/>
  <c r="J23" i="10"/>
  <c r="J24" i="10"/>
  <c r="G31" i="7"/>
  <c r="J15" i="10"/>
  <c r="J14" i="10"/>
  <c r="N26" i="8" l="1"/>
  <c r="O12" i="8"/>
  <c r="M51" i="8"/>
  <c r="M50" i="8"/>
  <c r="M49" i="8"/>
  <c r="G32" i="7"/>
  <c r="H32" i="7"/>
  <c r="D33" i="7" s="1"/>
  <c r="N48" i="8" l="1"/>
  <c r="N50" i="8" s="1"/>
  <c r="O26" i="8"/>
  <c r="N49" i="8"/>
  <c r="E33" i="7"/>
  <c r="F33" i="7" s="1"/>
  <c r="H33" i="7" s="1"/>
  <c r="D34" i="7" s="1"/>
  <c r="N51" i="8" l="1"/>
  <c r="O48" i="8"/>
  <c r="E34" i="7"/>
  <c r="F34" i="7" s="1"/>
  <c r="G33" i="7"/>
  <c r="O49" i="8" l="1"/>
  <c r="O50" i="8"/>
  <c r="D25" i="1"/>
  <c r="H34" i="7"/>
  <c r="G34" i="7"/>
  <c r="E35" i="7" l="1"/>
  <c r="G35" i="7"/>
  <c r="F35" i="7"/>
  <c r="C30" i="13"/>
  <c r="E30" i="13" s="1"/>
  <c r="F30" i="13" s="1"/>
  <c r="F32" i="13" s="1"/>
  <c r="C27" i="1" s="1"/>
</calcChain>
</file>

<file path=xl/sharedStrings.xml><?xml version="1.0" encoding="utf-8"?>
<sst xmlns="http://schemas.openxmlformats.org/spreadsheetml/2006/main" count="1635" uniqueCount="1050">
  <si>
    <t>하카타 항로 손익분석 — 근거 요약</t>
  </si>
  <si>
    <r>
      <rPr>
        <sz val="10"/>
        <rFont val="Noto Sans CJK SC"/>
        <family val="2"/>
      </rPr>
      <t>대저페리 감사보고서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제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기</t>
    </r>
    <r>
      <rPr>
        <sz val="10"/>
        <rFont val="맑은 고딕"/>
        <family val="3"/>
        <charset val="129"/>
      </rPr>
      <t xml:space="preserve">·2024) </t>
    </r>
    <r>
      <rPr>
        <sz val="10"/>
        <rFont val="Noto Sans CJK SC"/>
        <family val="2"/>
      </rPr>
      <t>손익계산서를 원본 그대로 싣고</t>
    </r>
    <r>
      <rPr>
        <sz val="10"/>
        <rFont val="맑은 고딕"/>
        <family val="3"/>
        <charset val="129"/>
      </rPr>
      <t>, 1</t>
    </r>
    <r>
      <rPr>
        <sz val="10"/>
        <rFont val="Noto Sans CJK SC"/>
        <family val="2"/>
      </rPr>
      <t>인당 인건비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지급수수료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목표 영업이익률 분석을 얹는다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대조 선박은 산타모니카호를 하카타 항로에 투입한다는 가정</t>
    </r>
    <r>
      <rPr>
        <sz val="10"/>
        <rFont val="맑은 고딕"/>
        <family val="3"/>
        <charset val="129"/>
      </rPr>
      <t>.</t>
    </r>
  </si>
  <si>
    <t>지표</t>
  </si>
  <si>
    <r>
      <rPr>
        <b/>
        <sz val="10"/>
        <rFont val="Noto Sans CJK SC"/>
        <family val="2"/>
      </rPr>
      <t xml:space="preserve">참조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 xml:space="preserve">실적 </t>
    </r>
    <r>
      <rPr>
        <b/>
        <sz val="10"/>
        <rFont val="맑은 고딕"/>
        <family val="3"/>
        <charset val="129"/>
      </rPr>
      <t>2024
(</t>
    </r>
    <r>
      <rPr>
        <b/>
        <sz val="10"/>
        <rFont val="Noto Sans CJK SC"/>
        <family val="2"/>
      </rPr>
      <t xml:space="preserve">대저페리 </t>
    </r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기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</si>
  <si>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대조 선박
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하카타 투입 가정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</si>
  <si>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산식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근거 시트</t>
    </r>
  </si>
  <si>
    <r>
      <rPr>
        <b/>
        <sz val="10"/>
        <rFont val="Noto Sans CJK SC"/>
        <family val="2"/>
      </rPr>
      <t xml:space="preserve">영업손익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</si>
  <si>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참조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손익계산서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원본 Ⅴ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대조선박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손익 Ⅴ</t>
    </r>
  </si>
  <si>
    <t>영업이익률</t>
  </si>
  <si>
    <r>
      <rPr>
        <b/>
        <sz val="10"/>
        <rFont val="맑은 고딕"/>
        <family val="3"/>
        <charset val="129"/>
      </rPr>
      <t>EBITDA 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</si>
  <si>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</si>
  <si>
    <r>
      <rPr>
        <b/>
        <sz val="10"/>
        <rFont val="맑은 고딕"/>
        <family val="3"/>
        <charset val="129"/>
      </rPr>
      <t xml:space="preserve">EBITDA </t>
    </r>
    <r>
      <rPr>
        <b/>
        <sz val="10"/>
        <rFont val="Noto Sans CJK SC"/>
        <family val="2"/>
      </rPr>
      <t>마진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</si>
  <si>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인당 인건비 — 현금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년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</si>
  <si>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인건비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부가가치 </t>
    </r>
    <r>
      <rPr>
        <sz val="10"/>
        <rFont val="맑은 고딕"/>
        <family val="3"/>
        <charset val="129"/>
      </rPr>
      <t xml:space="preserve">3 · </t>
    </r>
    <r>
      <rPr>
        <sz val="10"/>
        <rFont val="Noto Sans CJK SC"/>
        <family val="2"/>
      </rPr>
      <t>대조는 지상직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해상직 전사 기준</t>
    </r>
  </si>
  <si>
    <r>
      <rPr>
        <sz val="10"/>
        <rFont val="맑은 고딕"/>
        <family val="3"/>
        <charset val="129"/>
      </rPr>
      <t xml:space="preserve">  + </t>
    </r>
    <r>
      <rPr>
        <sz val="10"/>
        <rFont val="Noto Sans CJK SC"/>
        <family val="2"/>
      </rPr>
      <t xml:space="preserve">퇴직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비현금</t>
    </r>
    <r>
      <rPr>
        <sz val="10"/>
        <rFont val="맑은 고딕"/>
        <family val="3"/>
        <charset val="129"/>
      </rPr>
      <t>) 1</t>
    </r>
    <r>
      <rPr>
        <sz val="10"/>
        <rFont val="Noto Sans CJK SC"/>
        <family val="2"/>
      </rPr>
      <t>인당</t>
    </r>
  </si>
  <si>
    <r>
      <rPr>
        <sz val="10"/>
        <rFont val="Noto Sans CJK SC"/>
        <family val="2"/>
      </rPr>
      <t xml:space="preserve">  합계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</t>
    </r>
  </si>
  <si>
    <r>
      <rPr>
        <b/>
        <sz val="10"/>
        <rFont val="Noto Sans CJK SC"/>
        <family val="2"/>
      </rPr>
      <t xml:space="preserve">손익분기 승객수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명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</si>
  <si>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목표이익률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지표 </t>
    </r>
    <r>
      <rPr>
        <sz val="10"/>
        <rFont val="맑은 고딕"/>
        <family val="3"/>
        <charset val="129"/>
      </rPr>
      <t xml:space="preserve">0% </t>
    </r>
    <r>
      <rPr>
        <sz val="10"/>
        <rFont val="Noto Sans CJK SC"/>
        <family val="2"/>
      </rPr>
      <t>행</t>
    </r>
  </si>
  <si>
    <t xml:space="preserve">  비교 기준 승객수</t>
  </si>
  <si>
    <r>
      <rPr>
        <sz val="10"/>
        <rFont val="Noto Sans CJK SC"/>
        <family val="2"/>
      </rPr>
      <t>참조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실적 역산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승선율 기반 현재 설정</t>
    </r>
  </si>
  <si>
    <t xml:space="preserve">  차이</t>
  </si>
  <si>
    <t xml:space="preserve">  손익분기 승선율</t>
  </si>
  <si>
    <r>
      <rPr>
        <sz val="10"/>
        <rFont val="Noto Sans CJK SC"/>
        <family val="2"/>
      </rPr>
      <t xml:space="preserve">승객수 </t>
    </r>
    <r>
      <rPr>
        <sz val="10"/>
        <rFont val="맑은 고딕"/>
        <family val="3"/>
        <charset val="129"/>
      </rPr>
      <t>÷ 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항차</t>
    </r>
    <r>
      <rPr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</si>
  <si>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목표 달성 승객수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명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</si>
  <si>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목표이익률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지표 설정 목표 행</t>
    </r>
  </si>
  <si>
    <t xml:space="preserve">  목표 영업이익률</t>
  </si>
  <si>
    <t>설정값</t>
  </si>
  <si>
    <t xml:space="preserve">  항차당 승객</t>
  </si>
  <si>
    <t xml:space="preserve">  목표 승선율</t>
  </si>
  <si>
    <r>
      <rPr>
        <b/>
        <sz val="10"/>
        <rFont val="Noto Sans CJK SC"/>
        <family val="2"/>
      </rPr>
      <t xml:space="preserve">가동율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 xml:space="preserve">편도항차 </t>
    </r>
    <r>
      <rPr>
        <b/>
        <sz val="10"/>
        <rFont val="맑은 고딕"/>
        <family val="3"/>
        <charset val="129"/>
      </rPr>
      <t>÷ 730)</t>
    </r>
  </si>
  <si>
    <t>연간 편도 항차</t>
  </si>
  <si>
    <r>
      <rPr>
        <b/>
        <sz val="10"/>
        <rFont val="Noto Sans CJK SC"/>
        <family val="2"/>
      </rPr>
      <t xml:space="preserve">실현 단가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인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</si>
  <si>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가중평균 운임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유류할증료</t>
    </r>
  </si>
  <si>
    <r>
      <rPr>
        <b/>
        <sz val="10"/>
        <rFont val="Noto Sans CJK SC"/>
        <family val="2"/>
      </rPr>
      <t xml:space="preserve">매출액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</si>
  <si>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맑은 고딕"/>
        <family val="3"/>
        <charset val="129"/>
      </rPr>
      <t xml:space="preserve">DSCR (EBITDA ÷ </t>
    </r>
    <r>
      <rPr>
        <b/>
        <sz val="10"/>
        <rFont val="Noto Sans CJK SC"/>
        <family val="2"/>
      </rPr>
      <t>첫해 원리금</t>
    </r>
    <r>
      <rPr>
        <b/>
        <sz val="10"/>
        <rFont val="맑은 고딕"/>
        <family val="3"/>
        <charset val="129"/>
      </rPr>
      <t>)</t>
    </r>
  </si>
  <si>
    <t>-</t>
  </si>
  <si>
    <r>
      <rPr>
        <sz val="10"/>
        <rFont val="Noto Sans CJK SC"/>
        <family val="2"/>
      </rPr>
      <t>대조선박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손익 </t>
    </r>
    <r>
      <rPr>
        <sz val="10"/>
        <rFont val="맑은 고딕"/>
        <family val="3"/>
        <charset val="129"/>
      </rPr>
      <t>4</t>
    </r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</si>
  <si>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 xml:space="preserve">개년 평균 영업이익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백만원</t>
    </r>
    <r>
      <rPr>
        <b/>
        <sz val="10"/>
        <rFont val="맑은 고딕"/>
        <family val="3"/>
        <charset val="129"/>
      </rPr>
      <t>)</t>
    </r>
  </si>
  <si>
    <t>선체이자 운항원가 반영 기준</t>
  </si>
  <si>
    <t>대조 선박 분석 상태</t>
  </si>
  <si>
    <t>검산 결과</t>
  </si>
  <si>
    <t>시트 안내</t>
  </si>
  <si>
    <r>
      <rPr>
        <sz val="10"/>
        <rFont val="Noto Sans CJK SC"/>
        <family val="2"/>
      </rPr>
      <t>모든 가정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입력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주황 칸</t>
    </r>
    <r>
      <rPr>
        <sz val="10"/>
        <rFont val="맑은 고딕"/>
        <family val="3"/>
        <charset val="129"/>
      </rPr>
      <t>) + 10</t>
    </r>
    <r>
      <rPr>
        <sz val="10"/>
        <rFont val="Noto Sans CJK SC"/>
        <family val="2"/>
      </rPr>
      <t xml:space="preserve">개년 성장률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고정 상수</t>
    </r>
  </si>
  <si>
    <t>손익계산서_원본</t>
  </si>
  <si>
    <r>
      <rPr>
        <sz val="10"/>
        <rFont val="Noto Sans CJK SC"/>
        <family val="2"/>
      </rPr>
      <t>대저페리 제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기 감사보고서 손익계산서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당기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전기</t>
    </r>
    <r>
      <rPr>
        <sz val="10"/>
        <rFont val="맑은 고딕"/>
        <family val="3"/>
        <charset val="129"/>
      </rPr>
      <t xml:space="preserve">) + 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 xml:space="preserve">운항원가 세부 </t>
    </r>
    <r>
      <rPr>
        <sz val="10"/>
        <rFont val="맑은 고딕"/>
        <family val="3"/>
        <charset val="129"/>
      </rPr>
      <t xml:space="preserve">+ EBITDA </t>
    </r>
    <r>
      <rPr>
        <sz val="10"/>
        <rFont val="Noto Sans CJK SC"/>
        <family val="2"/>
      </rPr>
      <t>조정</t>
    </r>
  </si>
  <si>
    <t>주석_보조자료</t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</si>
  <si>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>부가가치 관련자료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천원</t>
    </r>
    <r>
      <rPr>
        <sz val="10"/>
        <rFont val="맑은 고딕"/>
        <family val="3"/>
        <charset val="129"/>
      </rPr>
      <t xml:space="preserve">) · 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7 · </t>
    </r>
    <r>
      <rPr>
        <sz val="10"/>
        <rFont val="Noto Sans CJK SC"/>
        <family val="2"/>
      </rPr>
      <t xml:space="preserve">현금흐름표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부가세예수금</t>
    </r>
  </si>
  <si>
    <t>원가구조_기준</t>
  </si>
  <si>
    <r>
      <rPr>
        <sz val="10"/>
        <rFont val="Noto Sans CJK SC"/>
        <family val="2"/>
      </rPr>
      <t xml:space="preserve">감사보고서 파생값 </t>
    </r>
    <r>
      <rPr>
        <sz val="10"/>
        <rFont val="맑은 고딕"/>
        <family val="3"/>
        <charset val="129"/>
      </rPr>
      <t>· 1</t>
    </r>
    <r>
      <rPr>
        <sz val="10"/>
        <rFont val="Noto Sans CJK SC"/>
        <family val="2"/>
      </rPr>
      <t xml:space="preserve">인당 인건비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실현 단가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역산 승객수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운항기타 세목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고정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준변동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변동 분해</t>
    </r>
  </si>
  <si>
    <t>대조선박_손익</t>
  </si>
  <si>
    <r>
      <rPr>
        <sz val="10"/>
        <rFont val="Noto Sans CJK SC"/>
        <family val="2"/>
      </rPr>
      <t xml:space="preserve">대조 선박 스케일 규칙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운항기타 산출 근거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단일연도 손익계산서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수지 </t>
    </r>
    <r>
      <rPr>
        <sz val="10"/>
        <rFont val="맑은 고딕"/>
        <family val="3"/>
        <charset val="129"/>
      </rPr>
      <t>· DSCR</t>
    </r>
  </si>
  <si>
    <t>차입금_상환</t>
  </si>
  <si>
    <r>
      <rPr>
        <sz val="10"/>
        <rFont val="Noto Sans CJK SC"/>
        <family val="2"/>
      </rPr>
      <t xml:space="preserve">차입 조건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첫해 원리금 </t>
    </r>
    <r>
      <rPr>
        <sz val="10"/>
        <rFont val="맑은 고딕"/>
        <family val="3"/>
        <charset val="129"/>
      </rPr>
      <t>· 40</t>
    </r>
    <r>
      <rPr>
        <sz val="10"/>
        <rFont val="Noto Sans CJK SC"/>
        <family val="2"/>
      </rPr>
      <t xml:space="preserve">년 상환 스케줄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선체이자 근거</t>
    </r>
    <r>
      <rPr>
        <sz val="10"/>
        <rFont val="맑은 고딕"/>
        <family val="3"/>
        <charset val="129"/>
      </rPr>
      <t>)</t>
    </r>
  </si>
  <si>
    <t>10개년_예상</t>
  </si>
  <si>
    <r>
      <rPr>
        <sz val="10"/>
        <rFont val="Noto Sans CJK SC"/>
        <family val="2"/>
      </rPr>
      <t xml:space="preserve">대조 선박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개년 예상 손익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백만원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 xml:space="preserve">성장률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선체이자는 스케줄</t>
    </r>
  </si>
  <si>
    <t>목표이익률_지표</t>
  </si>
  <si>
    <r>
      <rPr>
        <sz val="10"/>
        <rFont val="Noto Sans CJK SC"/>
        <family val="2"/>
      </rPr>
      <t>손익분기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목표 승객수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필요 운임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원가 비중 — 참조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대조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항차 자동증가 반복계산 포함</t>
    </r>
    <r>
      <rPr>
        <sz val="10"/>
        <rFont val="맑은 고딕"/>
        <family val="3"/>
        <charset val="129"/>
      </rPr>
      <t>)</t>
    </r>
  </si>
  <si>
    <t>CVP_손익분기</t>
  </si>
  <si>
    <r>
      <rPr>
        <sz val="10"/>
        <rFont val="Noto Sans CJK SC"/>
        <family val="2"/>
      </rPr>
      <t>승객수별 매출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총비용 표와 차트</t>
    </r>
  </si>
  <si>
    <t>인건비_부가가치</t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</si>
  <si>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분해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지상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해상 분리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부가가치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부가세 역산 가능성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지급수수료</t>
    </r>
  </si>
  <si>
    <t>운임_화물_선박</t>
  </si>
  <si>
    <r>
      <rPr>
        <sz val="10"/>
        <rFont val="Noto Sans CJK SC"/>
        <family val="2"/>
      </rPr>
      <t xml:space="preserve">대저페리 운임표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좌석 배율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선박 제원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차량 운임표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적재 케이스</t>
    </r>
  </si>
  <si>
    <t>검산</t>
  </si>
  <si>
    <r>
      <rPr>
        <sz val="10"/>
        <rFont val="Noto Sans CJK SC"/>
        <family val="2"/>
      </rPr>
      <t xml:space="preserve">보고서 기재값 대조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계산 경로 일치 검증</t>
    </r>
  </si>
  <si>
    <t>출처_한계</t>
  </si>
  <si>
    <r>
      <rPr>
        <sz val="10"/>
        <rFont val="Noto Sans CJK SC"/>
        <family val="2"/>
      </rPr>
      <t xml:space="preserve">자료 출처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분석의 한계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용어</t>
    </r>
  </si>
  <si>
    <r>
      <rPr>
        <b/>
        <sz val="16"/>
        <rFont val="Noto Sans CJK SC"/>
        <family val="2"/>
      </rPr>
      <t>설정값 — 모든 가정</t>
    </r>
    <r>
      <rPr>
        <b/>
        <sz val="16"/>
        <rFont val="맑은 고딕"/>
        <family val="3"/>
        <charset val="129"/>
      </rPr>
      <t>·</t>
    </r>
    <r>
      <rPr>
        <b/>
        <sz val="16"/>
        <rFont val="Noto Sans CJK SC"/>
        <family val="2"/>
      </rPr>
      <t>입력을 한 곳에</t>
    </r>
  </si>
  <si>
    <t>범례</t>
  </si>
  <si>
    <r>
      <rPr>
        <sz val="10"/>
        <rFont val="Noto Sans CJK SC"/>
        <family val="2"/>
      </rPr>
      <t xml:space="preserve">입력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바꿔도 되는 칸</t>
    </r>
    <r>
      <rPr>
        <sz val="10"/>
        <rFont val="맑은 고딕"/>
        <family val="3"/>
        <charset val="129"/>
      </rPr>
      <t>)</t>
    </r>
  </si>
  <si>
    <t>고정 상수</t>
  </si>
  <si>
    <t>계산</t>
  </si>
  <si>
    <r>
      <rPr>
        <sz val="10"/>
        <rFont val="맑은 고딕"/>
        <family val="3"/>
        <charset val="129"/>
      </rPr>
      <t xml:space="preserve">O/X · </t>
    </r>
    <r>
      <rPr>
        <sz val="10"/>
        <rFont val="Noto Sans CJK SC"/>
        <family val="2"/>
      </rPr>
      <t xml:space="preserve">성격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상환방식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선박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케이스 칸은 드롭다운</t>
    </r>
  </si>
  <si>
    <r>
      <rPr>
        <b/>
        <sz val="11"/>
        <rFont val="맑은 고딕"/>
        <family val="3"/>
        <charset val="129"/>
      </rPr>
      <t xml:space="preserve">A. </t>
    </r>
    <r>
      <rPr>
        <b/>
        <sz val="11"/>
        <rFont val="Noto Sans CJK SC"/>
        <family val="2"/>
      </rPr>
      <t xml:space="preserve">기준 자료 — 참조 선박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대저페리 제</t>
    </r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 xml:space="preserve">기 </t>
    </r>
    <r>
      <rPr>
        <b/>
        <sz val="11"/>
        <rFont val="맑은 고딕"/>
        <family val="3"/>
        <charset val="129"/>
      </rPr>
      <t xml:space="preserve">· 2024 · </t>
    </r>
    <r>
      <rPr>
        <b/>
        <sz val="11"/>
        <rFont val="Noto Sans CJK SC"/>
        <family val="2"/>
      </rPr>
      <t>엘도라도 익스프레스호</t>
    </r>
    <r>
      <rPr>
        <b/>
        <sz val="11"/>
        <rFont val="맑은 고딕"/>
        <family val="3"/>
        <charset val="129"/>
      </rPr>
      <t>)</t>
    </r>
  </si>
  <si>
    <t>그룹</t>
  </si>
  <si>
    <t>항목</t>
  </si>
  <si>
    <t>값</t>
  </si>
  <si>
    <t>단위</t>
  </si>
  <si>
    <r>
      <rPr>
        <b/>
        <sz val="10"/>
        <rFont val="Noto Sans CJK SC"/>
        <family val="2"/>
      </rPr>
      <t xml:space="preserve">근거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비고</t>
    </r>
  </si>
  <si>
    <t>인력</t>
  </si>
  <si>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판관비</t>
    </r>
    <r>
      <rPr>
        <sz val="10"/>
        <rFont val="맑은 고딕"/>
        <family val="3"/>
        <charset val="129"/>
      </rPr>
      <t>)</t>
    </r>
  </si>
  <si>
    <t>명</t>
  </si>
  <si>
    <r>
      <rPr>
        <sz val="10"/>
        <rFont val="Noto Sans CJK SC"/>
        <family val="2"/>
      </rPr>
      <t>판관비 급여영역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직원급여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퇴직급여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복리후생비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을 나누는 인원</t>
    </r>
  </si>
  <si>
    <t>선원</t>
  </si>
  <si>
    <r>
      <rPr>
        <sz val="10"/>
        <rFont val="Noto Sans CJK SC"/>
        <family val="2"/>
      </rPr>
      <t>가정 — 보고서에 인원 없음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운항원가 인건비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 산출에만 사용</t>
    </r>
  </si>
  <si>
    <t>승무원</t>
  </si>
  <si>
    <t>가정 — 보고서에 인원 없음</t>
  </si>
  <si>
    <t>연간 편도 항차수</t>
  </si>
  <si>
    <t>항차</t>
  </si>
  <si>
    <r>
      <rPr>
        <sz val="10"/>
        <rFont val="Noto Sans CJK SC"/>
        <family val="2"/>
      </rPr>
      <t xml:space="preserve">울릉크루즈 보도자료 연간 운항 실적 </t>
    </r>
    <r>
      <rPr>
        <sz val="10"/>
        <rFont val="맑은 고딕"/>
        <family val="3"/>
        <charset val="129"/>
      </rPr>
      <t>https://www.ulcruise.co.kr/www/aboutus/press?mode=view&amp;idx=5807</t>
    </r>
  </si>
  <si>
    <t>운임</t>
  </si>
  <si>
    <r>
      <rPr>
        <sz val="10"/>
        <rFont val="Noto Sans CJK SC"/>
        <family val="2"/>
      </rPr>
      <t xml:space="preserve">이코노미 대인 운임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기준</t>
    </r>
    <r>
      <rPr>
        <sz val="10"/>
        <rFont val="맑은 고딕"/>
        <family val="3"/>
        <charset val="129"/>
      </rPr>
      <t>)</t>
    </r>
  </si>
  <si>
    <t>원</t>
  </si>
  <si>
    <t>대저페리 공시 운임표 대인 이코노미 정상</t>
  </si>
  <si>
    <t>유류할증료</t>
  </si>
  <si>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인</t>
    </r>
  </si>
  <si>
    <r>
      <rPr>
        <sz val="10"/>
        <rFont val="Noto Sans CJK SC"/>
        <family val="2"/>
      </rPr>
      <t>미공시 — 가정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회계상 여객수입에 포함되므로 실현 단가에 더한다</t>
    </r>
  </si>
  <si>
    <t>좌석 구성비 — 이코노미</t>
  </si>
  <si>
    <t>%</t>
  </si>
  <si>
    <r>
      <rPr>
        <sz val="10"/>
        <rFont val="Noto Sans CJK SC"/>
        <family val="2"/>
      </rPr>
      <t>보고서에 없어 입력값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합이 </t>
    </r>
    <r>
      <rPr>
        <sz val="10"/>
        <rFont val="맑은 고딕"/>
        <family val="3"/>
        <charset val="129"/>
      </rPr>
      <t>100%</t>
    </r>
    <r>
      <rPr>
        <sz val="10"/>
        <rFont val="Noto Sans CJK SC"/>
        <family val="2"/>
      </rPr>
      <t>가 아니면 정규화</t>
    </r>
  </si>
  <si>
    <t>좌석 구성비 — 비즈니스</t>
  </si>
  <si>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>1.5 (</t>
    </r>
    <r>
      <rPr>
        <sz val="10"/>
        <rFont val="Noto Sans CJK SC"/>
        <family val="2"/>
      </rPr>
      <t>공시 운임</t>
    </r>
    <r>
      <rPr>
        <sz val="10"/>
        <rFont val="맑은 고딕"/>
        <family val="3"/>
        <charset val="129"/>
      </rPr>
      <t>)</t>
    </r>
  </si>
  <si>
    <t>좌석 구성비 — 퍼스트</t>
  </si>
  <si>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>2.1173 (</t>
    </r>
    <r>
      <rPr>
        <sz val="10"/>
        <rFont val="Noto Sans CJK SC"/>
        <family val="2"/>
      </rPr>
      <t>공시 운임</t>
    </r>
    <r>
      <rPr>
        <sz val="10"/>
        <rFont val="맑은 고딕"/>
        <family val="3"/>
        <charset val="129"/>
      </rPr>
      <t>)</t>
    </r>
  </si>
  <si>
    <t>원가</t>
  </si>
  <si>
    <r>
      <rPr>
        <sz val="10"/>
        <rFont val="Noto Sans CJK SC"/>
        <family val="2"/>
      </rPr>
      <t xml:space="preserve">승객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 추가 변동비</t>
    </r>
  </si>
  <si>
    <t>원가 구성표에 없는 몫을 손으로 얹는 칸</t>
  </si>
  <si>
    <t>승객이 정원을 넘으면 항차를 늘린다</t>
  </si>
  <si>
    <t>X</t>
  </si>
  <si>
    <t>O/X</t>
  </si>
  <si>
    <r>
      <rPr>
        <sz val="10"/>
        <rFont val="Noto Sans CJK SC"/>
        <family val="2"/>
      </rPr>
      <t>준변동비는 승객이 아니라 항차에 붙는다</t>
    </r>
    <r>
      <rPr>
        <sz val="10"/>
        <rFont val="맑은 고딕"/>
        <family val="3"/>
        <charset val="129"/>
      </rPr>
      <t>. O</t>
    </r>
    <r>
      <rPr>
        <sz val="10"/>
        <rFont val="Noto Sans CJK SC"/>
        <family val="2"/>
      </rPr>
      <t xml:space="preserve">면 필요 항차 </t>
    </r>
    <r>
      <rPr>
        <sz val="10"/>
        <rFont val="맑은 고딕"/>
        <family val="3"/>
        <charset val="129"/>
      </rPr>
      <t>= MAX(</t>
    </r>
    <r>
      <rPr>
        <sz val="10"/>
        <rFont val="Noto Sans CJK SC"/>
        <family val="2"/>
      </rPr>
      <t>설정 항차</t>
    </r>
    <r>
      <rPr>
        <sz val="10"/>
        <rFont val="맑은 고딕"/>
        <family val="3"/>
        <charset val="129"/>
      </rPr>
      <t>, ⌈</t>
    </r>
    <r>
      <rPr>
        <sz val="10"/>
        <rFont val="Noto Sans CJK SC"/>
        <family val="2"/>
      </rPr>
      <t>승객수</t>
    </r>
    <r>
      <rPr>
        <sz val="10"/>
        <rFont val="맑은 고딕"/>
        <family val="3"/>
        <charset val="129"/>
      </rPr>
      <t>÷</t>
    </r>
    <r>
      <rPr>
        <sz val="10"/>
        <rFont val="Noto Sans CJK SC"/>
        <family val="2"/>
      </rPr>
      <t>정원⌉</t>
    </r>
    <r>
      <rPr>
        <sz val="10"/>
        <rFont val="맑은 고딕"/>
        <family val="3"/>
        <charset val="129"/>
      </rPr>
      <t>)</t>
    </r>
  </si>
  <si>
    <t>목표</t>
  </si>
  <si>
    <t>목표 영업이익률</t>
  </si>
  <si>
    <r>
      <rPr>
        <sz val="10"/>
        <rFont val="Noto Sans CJK SC"/>
        <family val="2"/>
      </rPr>
      <t>참조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감사보고서 구조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탭의 목표</t>
    </r>
  </si>
  <si>
    <t>승객</t>
  </si>
  <si>
    <t>시뮬레이션 연간 승객수</t>
  </si>
  <si>
    <r>
      <rPr>
        <b/>
        <sz val="11"/>
        <rFont val="맑은 고딕"/>
        <family val="3"/>
        <charset val="129"/>
      </rPr>
      <t xml:space="preserve">A-2. </t>
    </r>
    <r>
      <rPr>
        <b/>
        <sz val="11"/>
        <rFont val="Noto Sans CJK SC"/>
        <family val="2"/>
      </rPr>
      <t xml:space="preserve">운항기타 세목 비율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가정</t>
    </r>
    <r>
      <rPr>
        <b/>
        <sz val="11"/>
        <rFont val="맑은 고딕"/>
        <family val="3"/>
        <charset val="129"/>
      </rPr>
      <t xml:space="preserve">) — </t>
    </r>
    <r>
      <rPr>
        <b/>
        <sz val="11"/>
        <rFont val="Noto Sans CJK SC"/>
        <family val="2"/>
      </rPr>
      <t xml:space="preserve">감사보고서 잔액 </t>
    </r>
    <r>
      <rPr>
        <b/>
        <sz val="11"/>
        <rFont val="맑은 고딕"/>
        <family val="3"/>
        <charset val="129"/>
      </rPr>
      <t>7,148,774,749</t>
    </r>
    <r>
      <rPr>
        <b/>
        <sz val="11"/>
        <rFont val="Noto Sans CJK SC"/>
        <family val="2"/>
      </rPr>
      <t>원을 나누는 비율</t>
    </r>
  </si>
  <si>
    <t>세목</t>
  </si>
  <si>
    <t>비율</t>
  </si>
  <si>
    <t>기본 비율의 근거</t>
  </si>
  <si>
    <t>운항비</t>
  </si>
  <si>
    <t>연료비</t>
  </si>
  <si>
    <r>
      <rPr>
        <sz val="10"/>
        <rFont val="맑은 고딕"/>
        <family val="3"/>
        <charset val="129"/>
      </rPr>
      <t xml:space="preserve">820$/MT · </t>
    </r>
    <r>
      <rPr>
        <sz val="10"/>
        <rFont val="Noto Sans CJK SC"/>
        <family val="2"/>
      </rPr>
      <t xml:space="preserve">편도 </t>
    </r>
    <r>
      <rPr>
        <sz val="10"/>
        <rFont val="맑은 고딕"/>
        <family val="3"/>
        <charset val="129"/>
      </rPr>
      <t>217km × 49.5kg/km · 500</t>
    </r>
    <r>
      <rPr>
        <sz val="10"/>
        <rFont val="Noto Sans CJK SC"/>
        <family val="2"/>
      </rPr>
      <t xml:space="preserve">항차 역산 → </t>
    </r>
    <r>
      <rPr>
        <sz val="10"/>
        <rFont val="맑은 고딕"/>
        <family val="3"/>
        <charset val="129"/>
      </rPr>
      <t>5,989,460,400</t>
    </r>
    <r>
      <rPr>
        <sz val="10"/>
        <rFont val="Noto Sans CJK SC"/>
        <family val="2"/>
      </rPr>
      <t xml:space="preserve">원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항차에 붙는다</t>
    </r>
  </si>
  <si>
    <t>항비</t>
  </si>
  <si>
    <r>
      <rPr>
        <sz val="10"/>
        <rFont val="Noto Sans CJK SC"/>
        <family val="2"/>
      </rPr>
      <t>입출항료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접안료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도선료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터미널 — 나머지 넷을 뺀 잔액</t>
    </r>
  </si>
  <si>
    <t>선비</t>
  </si>
  <si>
    <t>보험료</t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</si>
  <si>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4 </t>
    </r>
    <r>
      <rPr>
        <sz val="10"/>
        <rFont val="Noto Sans CJK SC"/>
        <family val="2"/>
      </rPr>
      <t xml:space="preserve">선박보험 부보액 </t>
    </r>
    <r>
      <rPr>
        <sz val="10"/>
        <rFont val="맑은 고딕"/>
        <family val="3"/>
        <charset val="129"/>
      </rPr>
      <t>73,378,500</t>
    </r>
    <r>
      <rPr>
        <sz val="10"/>
        <rFont val="Noto Sans CJK SC"/>
        <family val="2"/>
      </rPr>
      <t xml:space="preserve">천원 </t>
    </r>
    <r>
      <rPr>
        <sz val="10"/>
        <rFont val="맑은 고딕"/>
        <family val="3"/>
        <charset val="129"/>
      </rPr>
      <t>× 0.5% (</t>
    </r>
    <r>
      <rPr>
        <sz val="10"/>
        <rFont val="Noto Sans CJK SC"/>
        <family val="2"/>
      </rPr>
      <t>통상 요율</t>
    </r>
    <r>
      <rPr>
        <sz val="10"/>
        <rFont val="맑은 고딕"/>
        <family val="3"/>
        <charset val="129"/>
      </rPr>
      <t xml:space="preserve">) · P&amp;I </t>
    </r>
    <r>
      <rPr>
        <sz val="10"/>
        <rFont val="Noto Sans CJK SC"/>
        <family val="2"/>
      </rPr>
      <t>별도</t>
    </r>
  </si>
  <si>
    <t>수리비</t>
  </si>
  <si>
    <r>
      <rPr>
        <sz val="10"/>
        <rFont val="Noto Sans CJK SC"/>
        <family val="2"/>
      </rPr>
      <t>선령이 낮아 보증기간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보험금 청구로 처리 — 계상액 없음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판관비 수선비도 당기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)</t>
    </r>
  </si>
  <si>
    <t>선용품비</t>
  </si>
  <si>
    <r>
      <rPr>
        <sz val="10"/>
        <rFont val="Noto Sans CJK SC"/>
        <family val="2"/>
      </rPr>
      <t>윤활유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소모품 — 저장품 감소분 </t>
    </r>
    <r>
      <rPr>
        <sz val="10"/>
        <rFont val="맑은 고딕"/>
        <family val="3"/>
        <charset val="129"/>
      </rPr>
      <t>53,922,777 → 34,438,118 (19,484,659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)</t>
    </r>
  </si>
  <si>
    <r>
      <rPr>
        <b/>
        <sz val="11"/>
        <rFont val="맑은 고딕"/>
        <family val="3"/>
        <charset val="129"/>
      </rPr>
      <t xml:space="preserve">A-3. </t>
    </r>
    <r>
      <rPr>
        <b/>
        <sz val="11"/>
        <rFont val="Noto Sans CJK SC"/>
        <family val="2"/>
      </rPr>
      <t xml:space="preserve">원가 항목의 포함 여부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성격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고정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준변동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>변동</t>
    </r>
    <r>
      <rPr>
        <b/>
        <sz val="11"/>
        <rFont val="맑은 고딕"/>
        <family val="3"/>
        <charset val="129"/>
      </rPr>
      <t>)</t>
    </r>
  </si>
  <si>
    <t>손익계산서 소속</t>
  </si>
  <si>
    <t>원가 항목</t>
  </si>
  <si>
    <t>계산에 포함</t>
  </si>
  <si>
    <t>성격</t>
  </si>
  <si>
    <t>비고</t>
  </si>
  <si>
    <t>운항원가</t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</si>
  <si>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퇴직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>)</t>
    </r>
  </si>
  <si>
    <t>O</t>
  </si>
  <si>
    <t>고정</t>
  </si>
  <si>
    <r>
      <rPr>
        <sz val="10"/>
        <rFont val="Noto Sans CJK SC"/>
        <family val="2"/>
      </rPr>
      <t>선원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 xml:space="preserve">승무원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승객수 무관</t>
    </r>
  </si>
  <si>
    <t>운항 감가상각비</t>
  </si>
  <si>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 xml:space="preserve">년 정액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비현금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포함을 </t>
    </r>
    <r>
      <rPr>
        <sz val="10"/>
        <rFont val="맑은 고딕"/>
        <family val="3"/>
        <charset val="129"/>
      </rPr>
      <t>X</t>
    </r>
    <r>
      <rPr>
        <sz val="10"/>
        <rFont val="Noto Sans CJK SC"/>
        <family val="2"/>
      </rPr>
      <t xml:space="preserve">로 두면 </t>
    </r>
    <r>
      <rPr>
        <sz val="10"/>
        <rFont val="맑은 고딕"/>
        <family val="3"/>
        <charset val="129"/>
      </rPr>
      <t xml:space="preserve">EBITDA </t>
    </r>
    <r>
      <rPr>
        <sz val="10"/>
        <rFont val="Noto Sans CJK SC"/>
        <family val="2"/>
      </rPr>
      <t>기준</t>
    </r>
  </si>
  <si>
    <r>
      <rPr>
        <sz val="10"/>
        <rFont val="Noto Sans CJK SC"/>
        <family val="2"/>
      </rPr>
      <t>운항 세금과공과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임차료</t>
    </r>
  </si>
  <si>
    <r>
      <rPr>
        <sz val="10"/>
        <rFont val="Noto Sans CJK SC"/>
        <family val="2"/>
      </rPr>
      <t xml:space="preserve">운항기타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연료비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잡비</t>
    </r>
    <r>
      <rPr>
        <sz val="10"/>
        <rFont val="맑은 고딕"/>
        <family val="3"/>
        <charset val="129"/>
      </rPr>
      <t>)</t>
    </r>
  </si>
  <si>
    <t>준변동</t>
  </si>
  <si>
    <r>
      <rPr>
        <sz val="10"/>
        <rFont val="Noto Sans CJK SC"/>
        <family val="2"/>
      </rPr>
      <t xml:space="preserve">운항원가의 </t>
    </r>
    <r>
      <rPr>
        <sz val="10"/>
        <rFont val="맑은 고딕"/>
        <family val="3"/>
        <charset val="129"/>
      </rPr>
      <t xml:space="preserve">58% · </t>
    </r>
    <r>
      <rPr>
        <sz val="10"/>
        <rFont val="Noto Sans CJK SC"/>
        <family val="2"/>
      </rPr>
      <t>항차 연동</t>
    </r>
  </si>
  <si>
    <t>판매비와관리비</t>
  </si>
  <si>
    <t>판관 급여영역</t>
  </si>
  <si>
    <r>
      <rPr>
        <sz val="10"/>
        <rFont val="Noto Sans CJK SC"/>
        <family val="2"/>
      </rPr>
      <t xml:space="preserve">직원 수 연동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승객수 무관</t>
    </r>
  </si>
  <si>
    <r>
      <rPr>
        <sz val="10"/>
        <rFont val="Noto Sans CJK SC"/>
        <family val="2"/>
      </rPr>
      <t xml:space="preserve">판관 그 밖 </t>
    </r>
    <r>
      <rPr>
        <sz val="10"/>
        <rFont val="맑은 고딕"/>
        <family val="3"/>
        <charset val="129"/>
      </rPr>
      <t>13</t>
    </r>
    <r>
      <rPr>
        <sz val="10"/>
        <rFont val="Noto Sans CJK SC"/>
        <family val="2"/>
      </rPr>
      <t>과목</t>
    </r>
  </si>
  <si>
    <t>지급수수료</t>
  </si>
  <si>
    <t>변동</t>
  </si>
  <si>
    <r>
      <rPr>
        <sz val="10"/>
        <rFont val="Noto Sans CJK SC"/>
        <family val="2"/>
      </rPr>
      <t>예약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결제 수수료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승객 연동</t>
    </r>
  </si>
  <si>
    <r>
      <rPr>
        <b/>
        <sz val="11"/>
        <rFont val="맑은 고딕"/>
        <family val="3"/>
        <charset val="129"/>
      </rPr>
      <t xml:space="preserve">B. </t>
    </r>
    <r>
      <rPr>
        <b/>
        <sz val="11"/>
        <rFont val="Noto Sans CJK SC"/>
        <family val="2"/>
      </rPr>
      <t>대조 선박 설정 — 하카타 항로 투입 시나리오</t>
    </r>
  </si>
  <si>
    <t>선박</t>
  </si>
  <si>
    <t>대조 선박</t>
  </si>
  <si>
    <t>산타모니카호</t>
  </si>
  <si>
    <r>
      <rPr>
        <sz val="10"/>
        <rFont val="Noto Sans CJK SC"/>
        <family val="2"/>
      </rPr>
      <t>목록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산타모니카호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퀸비틀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보류</t>
    </r>
    <r>
      <rPr>
        <sz val="10"/>
        <rFont val="맑은 고딕"/>
        <family val="3"/>
        <charset val="129"/>
      </rPr>
      <t xml:space="preserve">) · </t>
    </r>
    <r>
      <rPr>
        <sz val="10"/>
        <rFont val="Noto Sans CJK SC"/>
        <family val="2"/>
      </rPr>
      <t>코리아프라이드호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보류</t>
    </r>
    <r>
      <rPr>
        <sz val="10"/>
        <rFont val="맑은 고딕"/>
        <family val="3"/>
        <charset val="129"/>
      </rPr>
      <t xml:space="preserve">). </t>
    </r>
    <r>
      <rPr>
        <sz val="10"/>
        <rFont val="Noto Sans CJK SC"/>
        <family val="2"/>
      </rPr>
      <t>정원은 운임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선박 시트에서 찾는다</t>
    </r>
  </si>
  <si>
    <r>
      <rPr>
        <sz val="10"/>
        <rFont val="Noto Sans CJK SC"/>
        <family val="2"/>
      </rPr>
      <t xml:space="preserve">판관 급여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과목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감사보고서 </t>
    </r>
    <r>
      <rPr>
        <sz val="10"/>
        <rFont val="맑은 고딕"/>
        <family val="3"/>
        <charset val="129"/>
      </rPr>
      <t>× (</t>
    </r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÷ 30</t>
    </r>
    <r>
      <rPr>
        <sz val="10"/>
        <rFont val="Noto Sans CJK SC"/>
        <family val="2"/>
      </rPr>
      <t>명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</si>
  <si>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가정 — 운항 인건비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감사보고서 </t>
    </r>
    <r>
      <rPr>
        <sz val="10"/>
        <rFont val="맑은 고딕"/>
        <family val="3"/>
        <charset val="129"/>
      </rPr>
      <t>× (</t>
    </r>
    <r>
      <rPr>
        <sz val="10"/>
        <rFont val="Noto Sans CJK SC"/>
        <family val="2"/>
      </rPr>
      <t xml:space="preserve">대조 해상직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참조 해상직</t>
    </r>
    <r>
      <rPr>
        <sz val="10"/>
        <rFont val="맑은 고딕"/>
        <family val="3"/>
        <charset val="129"/>
      </rPr>
      <t>)</t>
    </r>
  </si>
  <si>
    <t>가정</t>
  </si>
  <si>
    <r>
      <rPr>
        <sz val="10"/>
        <rFont val="Noto Sans CJK SC"/>
        <family val="2"/>
      </rPr>
      <t xml:space="preserve">가정 — 운항기타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감사보고서 세목 </t>
    </r>
    <r>
      <rPr>
        <sz val="10"/>
        <rFont val="맑은 고딕"/>
        <family val="3"/>
        <charset val="129"/>
      </rPr>
      <t>× (</t>
    </r>
    <r>
      <rPr>
        <sz val="10"/>
        <rFont val="Noto Sans CJK SC"/>
        <family val="2"/>
      </rPr>
      <t xml:space="preserve">대조 항차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참조 항차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</si>
  <si>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새 배를 </t>
    </r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>년 굴려 다시 살 수 있는가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탭의 목표</t>
    </r>
  </si>
  <si>
    <t>연료</t>
  </si>
  <si>
    <r>
      <rPr>
        <sz val="10"/>
        <rFont val="Noto Sans CJK SC"/>
        <family val="2"/>
      </rPr>
      <t xml:space="preserve">연료 단가 — </t>
    </r>
    <r>
      <rPr>
        <sz val="10"/>
        <rFont val="맑은 고딕"/>
        <family val="3"/>
        <charset val="129"/>
      </rPr>
      <t xml:space="preserve">2024 </t>
    </r>
    <r>
      <rPr>
        <sz val="10"/>
        <rFont val="Noto Sans CJK SC"/>
        <family val="2"/>
      </rPr>
      <t>기준</t>
    </r>
  </si>
  <si>
    <t>$/MT</t>
  </si>
  <si>
    <r>
      <rPr>
        <sz val="10"/>
        <rFont val="맑은 고딕"/>
        <family val="3"/>
        <charset val="129"/>
      </rPr>
      <t xml:space="preserve">2024 </t>
    </r>
    <r>
      <rPr>
        <sz val="10"/>
        <rFont val="Noto Sans CJK SC"/>
        <family val="2"/>
      </rPr>
      <t xml:space="preserve">평균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가정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감사보고서 실적을 설명하는 값</t>
    </r>
  </si>
  <si>
    <t>연료 단가 — 현재</t>
  </si>
  <si>
    <r>
      <rPr>
        <sz val="10"/>
        <rFont val="맑은 고딕"/>
        <family val="3"/>
        <charset val="129"/>
      </rPr>
      <t xml:space="preserve">Bunker Index </t>
    </r>
    <r>
      <rPr>
        <sz val="10"/>
        <rFont val="Noto Sans CJK SC"/>
        <family val="2"/>
      </rPr>
      <t xml:space="preserve">부산항 </t>
    </r>
    <r>
      <rPr>
        <sz val="10"/>
        <rFont val="맑은 고딕"/>
        <family val="3"/>
        <charset val="129"/>
      </rPr>
      <t>LSMGO · 2026-09-14 (fuel_price.json) https://www.bunkerindex.com/prices/port.php?p=109&amp;n=busan-republic-of-korea</t>
    </r>
  </si>
  <si>
    <r>
      <rPr>
        <sz val="10"/>
        <rFont val="Noto Sans CJK SC"/>
        <family val="2"/>
      </rPr>
      <t xml:space="preserve">환율 — </t>
    </r>
    <r>
      <rPr>
        <sz val="10"/>
        <rFont val="맑은 고딕"/>
        <family val="3"/>
        <charset val="129"/>
      </rPr>
      <t xml:space="preserve">2024 </t>
    </r>
    <r>
      <rPr>
        <sz val="10"/>
        <rFont val="Noto Sans CJK SC"/>
        <family val="2"/>
      </rPr>
      <t>기준</t>
    </r>
  </si>
  <si>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/$</t>
    </r>
  </si>
  <si>
    <t>환율 — 현재</t>
  </si>
  <si>
    <t>fuel_price.json · 2026-09-14</t>
  </si>
  <si>
    <t>연료비에 현재 증가율 반영</t>
  </si>
  <si>
    <r>
      <rPr>
        <sz val="10"/>
        <rFont val="Noto Sans CJK SC"/>
        <family val="2"/>
      </rPr>
      <t xml:space="preserve">연료비 세목에만 적용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보험료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수리비 제외</t>
    </r>
    <r>
      <rPr>
        <sz val="10"/>
        <rFont val="맑은 고딕"/>
        <family val="3"/>
        <charset val="129"/>
      </rPr>
      <t xml:space="preserve">). </t>
    </r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>= (</t>
    </r>
    <r>
      <rPr>
        <sz val="10"/>
        <rFont val="Noto Sans CJK SC"/>
        <family val="2"/>
      </rPr>
      <t xml:space="preserve">현재 </t>
    </r>
    <r>
      <rPr>
        <sz val="10"/>
        <rFont val="맑은 고딕"/>
        <family val="3"/>
        <charset val="129"/>
      </rPr>
      <t xml:space="preserve">$/MT × </t>
    </r>
    <r>
      <rPr>
        <sz val="10"/>
        <rFont val="Noto Sans CJK SC"/>
        <family val="2"/>
      </rPr>
      <t>환율</t>
    </r>
    <r>
      <rPr>
        <sz val="10"/>
        <rFont val="맑은 고딕"/>
        <family val="3"/>
        <charset val="129"/>
      </rPr>
      <t>) ÷ (</t>
    </r>
    <r>
      <rPr>
        <sz val="10"/>
        <rFont val="Noto Sans CJK SC"/>
        <family val="2"/>
      </rPr>
      <t xml:space="preserve">기준 </t>
    </r>
    <r>
      <rPr>
        <sz val="10"/>
        <rFont val="맑은 고딕"/>
        <family val="3"/>
        <charset val="129"/>
      </rPr>
      <t xml:space="preserve">$/MT × </t>
    </r>
    <r>
      <rPr>
        <sz val="10"/>
        <rFont val="Noto Sans CJK SC"/>
        <family val="2"/>
      </rPr>
      <t>환율</t>
    </r>
    <r>
      <rPr>
        <sz val="10"/>
        <rFont val="맑은 고딕"/>
        <family val="3"/>
        <charset val="129"/>
      </rPr>
      <t>)</t>
    </r>
  </si>
  <si>
    <t>감가상각</t>
  </si>
  <si>
    <t>선가</t>
  </si>
  <si>
    <t>백만원</t>
  </si>
  <si>
    <r>
      <rPr>
        <sz val="10"/>
        <rFont val="Noto Sans CJK SC"/>
        <family val="2"/>
      </rPr>
      <t xml:space="preserve">비우거나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이면 감사보고서 감가상각비</t>
    </r>
    <r>
      <rPr>
        <sz val="10"/>
        <rFont val="맑은 고딕"/>
        <family val="3"/>
        <charset val="129"/>
      </rPr>
      <t>(3,349</t>
    </r>
    <r>
      <rPr>
        <sz val="10"/>
        <rFont val="Noto Sans CJK SC"/>
        <family val="2"/>
      </rPr>
      <t>백만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사용</t>
    </r>
  </si>
  <si>
    <t>내용연수</t>
  </si>
  <si>
    <t>년</t>
  </si>
  <si>
    <t>정액법</t>
  </si>
  <si>
    <t>잔존가치</t>
  </si>
  <si>
    <t>차입금</t>
  </si>
  <si>
    <r>
      <rPr>
        <sz val="10"/>
        <rFont val="Noto Sans CJK SC"/>
        <family val="2"/>
      </rPr>
      <t xml:space="preserve">비우거나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이면 이자 미적용</t>
    </r>
  </si>
  <si>
    <t>이자율</t>
  </si>
  <si>
    <t>상환기간</t>
  </si>
  <si>
    <t>거치기간</t>
  </si>
  <si>
    <t>거치 중에는 이자만</t>
  </si>
  <si>
    <t>상환방식</t>
  </si>
  <si>
    <t>원리금균등</t>
  </si>
  <si>
    <r>
      <rPr>
        <sz val="10"/>
        <rFont val="Noto Sans CJK SC"/>
        <family val="2"/>
      </rPr>
      <t xml:space="preserve">원리금균등 — 매년 같은 금액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원금균등 — 원금 일정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이자 체감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만기일시 — 기간 중 이자만</t>
    </r>
  </si>
  <si>
    <r>
      <rPr>
        <sz val="10"/>
        <rFont val="Noto Sans CJK SC"/>
        <family val="2"/>
      </rPr>
      <t xml:space="preserve">항차당 승선율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정원 대비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</si>
  <si>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수요는 승선율에서 내려온다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승선율 → 항차당 인원 → 연간 승객수</t>
    </r>
  </si>
  <si>
    <t>인원수로 직접 입력</t>
  </si>
  <si>
    <r>
      <rPr>
        <sz val="10"/>
        <rFont val="맑은 고딕"/>
        <family val="3"/>
        <charset val="129"/>
      </rPr>
      <t>O</t>
    </r>
    <r>
      <rPr>
        <sz val="10"/>
        <rFont val="Noto Sans CJK SC"/>
        <family val="2"/>
      </rPr>
      <t>면 아래 연간 승객수가 주인이 되고 승선율이 결과가 된다</t>
    </r>
  </si>
  <si>
    <r>
      <rPr>
        <sz val="10"/>
        <rFont val="Noto Sans CJK SC"/>
        <family val="2"/>
      </rPr>
      <t xml:space="preserve">연간 승객수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직접 입력 시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</si>
  <si>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인원수로 직접 입력</t>
    </r>
    <r>
      <rPr>
        <sz val="10"/>
        <rFont val="맑은 고딕"/>
        <family val="3"/>
        <charset val="129"/>
      </rPr>
      <t xml:space="preserve">" = O </t>
    </r>
    <r>
      <rPr>
        <sz val="10"/>
        <rFont val="Noto Sans CJK SC"/>
        <family val="2"/>
      </rPr>
      <t>일 때만 사용</t>
    </r>
  </si>
  <si>
    <r>
      <rPr>
        <sz val="10"/>
        <rFont val="Noto Sans CJK SC"/>
        <family val="2"/>
      </rPr>
      <t xml:space="preserve">이코노미 대인 편도운임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기준</t>
    </r>
    <r>
      <rPr>
        <sz val="10"/>
        <rFont val="맑은 고딕"/>
        <family val="3"/>
        <charset val="129"/>
      </rPr>
      <t>)</t>
    </r>
  </si>
  <si>
    <t>배율은 대저페리 운임표와 같다</t>
  </si>
  <si>
    <t>화물</t>
  </si>
  <si>
    <t>화물 선적율</t>
  </si>
  <si>
    <t>적재 가능량 대비 실제 싣는 비율</t>
  </si>
  <si>
    <t>산타모니카 적재 케이스</t>
  </si>
  <si>
    <t>Case</t>
  </si>
  <si>
    <r>
      <rPr>
        <sz val="10"/>
        <rFont val="맑은 고딕"/>
        <family val="3"/>
        <charset val="129"/>
      </rPr>
      <t>1~5 (</t>
    </r>
    <r>
      <rPr>
        <sz val="10"/>
        <rFont val="Noto Sans CJK SC"/>
        <family val="2"/>
      </rPr>
      <t>운임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선박 시트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번 표</t>
    </r>
    <r>
      <rPr>
        <sz val="10"/>
        <rFont val="맑은 고딕"/>
        <family val="3"/>
        <charset val="129"/>
      </rPr>
      <t xml:space="preserve">). </t>
    </r>
    <r>
      <rPr>
        <sz val="10"/>
        <rFont val="Noto Sans CJK SC"/>
        <family val="2"/>
      </rPr>
      <t xml:space="preserve">기본 </t>
    </r>
    <r>
      <rPr>
        <sz val="10"/>
        <rFont val="맑은 고딕"/>
        <family val="3"/>
        <charset val="129"/>
      </rPr>
      <t>Case 4 = 1</t>
    </r>
    <r>
      <rPr>
        <sz val="10"/>
        <rFont val="Noto Sans CJK SC"/>
        <family val="2"/>
      </rPr>
      <t xml:space="preserve">톤트럭 </t>
    </r>
    <r>
      <rPr>
        <sz val="10"/>
        <rFont val="맑은 고딕"/>
        <family val="3"/>
        <charset val="129"/>
      </rPr>
      <t xml:space="preserve">38 · </t>
    </r>
    <r>
      <rPr>
        <sz val="10"/>
        <rFont val="Noto Sans CJK SC"/>
        <family val="2"/>
      </rPr>
      <t xml:space="preserve">소형 </t>
    </r>
    <r>
      <rPr>
        <sz val="10"/>
        <rFont val="맑은 고딕"/>
        <family val="3"/>
        <charset val="129"/>
      </rPr>
      <t xml:space="preserve">4 · </t>
    </r>
    <r>
      <rPr>
        <sz val="10"/>
        <rFont val="Noto Sans CJK SC"/>
        <family val="2"/>
      </rPr>
      <t xml:space="preserve">캐러밴 </t>
    </r>
    <r>
      <rPr>
        <sz val="10"/>
        <rFont val="맑은 고딕"/>
        <family val="3"/>
        <charset val="129"/>
      </rPr>
      <t>20 ★</t>
    </r>
    <r>
      <rPr>
        <sz val="10"/>
        <rFont val="Noto Sans CJK SC"/>
        <family val="2"/>
      </rPr>
      <t>최대</t>
    </r>
  </si>
  <si>
    <t>계정</t>
  </si>
  <si>
    <t>성장률</t>
  </si>
  <si>
    <t>매출</t>
  </si>
  <si>
    <t>여객수입</t>
  </si>
  <si>
    <r>
      <rPr>
        <sz val="10"/>
        <rFont val="맑은 고딕"/>
        <family val="3"/>
        <charset val="129"/>
      </rPr>
      <t>%/</t>
    </r>
    <r>
      <rPr>
        <sz val="10"/>
        <rFont val="Noto Sans CJK SC"/>
        <family val="2"/>
      </rPr>
      <t>년</t>
    </r>
  </si>
  <si>
    <t>화물수입</t>
  </si>
  <si>
    <t>임대료수입</t>
  </si>
  <si>
    <r>
      <rPr>
        <sz val="10"/>
        <rFont val="Noto Sans CJK SC"/>
        <family val="2"/>
      </rPr>
      <t xml:space="preserve">운항원가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해상직원</t>
    </r>
    <r>
      <rPr>
        <sz val="10"/>
        <rFont val="맑은 고딕"/>
        <family val="3"/>
        <charset val="129"/>
      </rPr>
      <t>)</t>
    </r>
  </si>
  <si>
    <t>급여</t>
  </si>
  <si>
    <t>퇴직급여</t>
  </si>
  <si>
    <t>복리후생비</t>
  </si>
  <si>
    <r>
      <rPr>
        <sz val="10"/>
        <rFont val="Noto Sans CJK SC"/>
        <family val="2"/>
      </rPr>
      <t xml:space="preserve">운항원가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운항</t>
    </r>
  </si>
  <si>
    <t>감가상각비</t>
  </si>
  <si>
    <t>선체이자는 성장률이 아니라 상환 스케줄을 따른다</t>
  </si>
  <si>
    <t>세금과공과</t>
  </si>
  <si>
    <t>임차료</t>
  </si>
  <si>
    <r>
      <rPr>
        <sz val="10"/>
        <rFont val="Noto Sans CJK SC"/>
        <family val="2"/>
      </rPr>
      <t xml:space="preserve">운항원가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운항기타 세목</t>
    </r>
  </si>
  <si>
    <t>판매관리비</t>
  </si>
  <si>
    <r>
      <rPr>
        <sz val="10"/>
        <rFont val="Noto Sans CJK SC"/>
        <family val="2"/>
      </rPr>
      <t xml:space="preserve">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직원급여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퇴직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</si>
  <si>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그 외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세금과공과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지급수수료 제외</t>
    </r>
    <r>
      <rPr>
        <sz val="10"/>
        <rFont val="맑은 고딕"/>
        <family val="3"/>
        <charset val="129"/>
      </rPr>
      <t>)</t>
    </r>
  </si>
  <si>
    <t>판관 급여영역 기준 인원</t>
  </si>
  <si>
    <r>
      <rPr>
        <sz val="10"/>
        <rFont val="Noto Sans CJK SC"/>
        <family val="2"/>
      </rPr>
      <t xml:space="preserve">감사보고서 판관 급여영역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</t>
    </r>
    <r>
      <rPr>
        <sz val="10"/>
        <rFont val="맑은 고딕"/>
        <family val="3"/>
        <charset val="129"/>
      </rPr>
      <t xml:space="preserve">(PER_HEAD) </t>
    </r>
    <r>
      <rPr>
        <sz val="10"/>
        <rFont val="Noto Sans CJK SC"/>
        <family val="2"/>
      </rPr>
      <t>산정 분모 — 고정</t>
    </r>
  </si>
  <si>
    <t>가동율</t>
  </si>
  <si>
    <r>
      <rPr>
        <sz val="10"/>
        <rFont val="Noto Sans CJK SC"/>
        <family val="2"/>
      </rPr>
      <t xml:space="preserve">가동율 분모 </t>
    </r>
    <r>
      <rPr>
        <sz val="10"/>
        <rFont val="맑은 고딕"/>
        <family val="3"/>
        <charset val="129"/>
      </rPr>
      <t>(365</t>
    </r>
    <r>
      <rPr>
        <sz val="10"/>
        <rFont val="Noto Sans CJK SC"/>
        <family val="2"/>
      </rPr>
      <t xml:space="preserve">일 </t>
    </r>
    <r>
      <rPr>
        <sz val="10"/>
        <rFont val="맑은 고딕"/>
        <family val="3"/>
        <charset val="129"/>
      </rPr>
      <t>× 2)</t>
    </r>
  </si>
  <si>
    <r>
      <rPr>
        <sz val="10"/>
        <rFont val="Noto Sans CJK SC"/>
        <family val="2"/>
      </rPr>
      <t>편도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년</t>
    </r>
  </si>
  <si>
    <r>
      <rPr>
        <sz val="10"/>
        <rFont val="Noto Sans CJK SC"/>
        <family val="2"/>
      </rPr>
      <t xml:space="preserve">가동율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연간 편도 항차 </t>
    </r>
    <r>
      <rPr>
        <sz val="10"/>
        <rFont val="맑은 고딕"/>
        <family val="3"/>
        <charset val="129"/>
      </rPr>
      <t>÷ 730</t>
    </r>
  </si>
  <si>
    <t>연료 역산 참고</t>
  </si>
  <si>
    <r>
      <rPr>
        <sz val="10"/>
        <rFont val="Noto Sans CJK SC"/>
        <family val="2"/>
      </rPr>
      <t xml:space="preserve">편도 거리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포항↔울릉</t>
    </r>
    <r>
      <rPr>
        <sz val="10"/>
        <rFont val="맑은 고딕"/>
        <family val="3"/>
        <charset val="129"/>
      </rPr>
      <t>)</t>
    </r>
  </si>
  <si>
    <t>km</t>
  </si>
  <si>
    <r>
      <rPr>
        <sz val="10"/>
        <rFont val="Noto Sans CJK SC"/>
        <family val="2"/>
      </rPr>
      <t xml:space="preserve">연료비 역산 참고값 — 부산↔하카타 </t>
    </r>
    <r>
      <rPr>
        <sz val="10"/>
        <rFont val="맑은 고딕"/>
        <family val="3"/>
        <charset val="129"/>
      </rPr>
      <t>213km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3"/>
        <charset val="129"/>
      </rPr>
      <t xml:space="preserve">4km </t>
    </r>
    <r>
      <rPr>
        <sz val="10"/>
        <rFont val="Noto Sans CJK SC"/>
        <family val="2"/>
      </rPr>
      <t>차이</t>
    </r>
  </si>
  <si>
    <t>연료 소모율</t>
  </si>
  <si>
    <t>kg/km</t>
  </si>
  <si>
    <t>연료비 역산 참고값</t>
  </si>
  <si>
    <t>연료 비중</t>
  </si>
  <si>
    <t>kg/L</t>
  </si>
  <si>
    <t>참고값</t>
  </si>
  <si>
    <t>목표 계단</t>
  </si>
  <si>
    <t>0% · 3% · 5% · 8% · 10% · 15%</t>
  </si>
  <si>
    <r>
      <rPr>
        <b/>
        <sz val="16"/>
        <rFont val="Noto Sans CJK SC"/>
        <family val="2"/>
      </rPr>
      <t>손익계산서 — 주식회사 대저페리 제</t>
    </r>
    <r>
      <rPr>
        <b/>
        <sz val="16"/>
        <rFont val="맑은 고딕"/>
        <family val="3"/>
        <charset val="129"/>
      </rPr>
      <t>3</t>
    </r>
    <r>
      <rPr>
        <b/>
        <sz val="16"/>
        <rFont val="Noto Sans CJK SC"/>
        <family val="2"/>
      </rPr>
      <t xml:space="preserve">기 </t>
    </r>
    <r>
      <rPr>
        <b/>
        <sz val="16"/>
        <rFont val="맑은 고딕"/>
        <family val="3"/>
        <charset val="129"/>
      </rPr>
      <t xml:space="preserve">(2024.01.01 ~ 2024.12.31) </t>
    </r>
    <r>
      <rPr>
        <b/>
        <sz val="16"/>
        <rFont val="Noto Sans CJK SC"/>
        <family val="2"/>
      </rPr>
      <t>감사보고서 원본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</si>
  <si>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단위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 xml:space="preserve">) · </t>
    </r>
    <r>
      <rPr>
        <sz val="10"/>
        <rFont val="Noto Sans CJK SC"/>
        <family val="2"/>
      </rPr>
      <t>제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기</t>
    </r>
    <r>
      <rPr>
        <sz val="10"/>
        <rFont val="맑은 고딕"/>
        <family val="3"/>
        <charset val="129"/>
      </rPr>
      <t>(2023)</t>
    </r>
    <r>
      <rPr>
        <sz val="10"/>
        <rFont val="Noto Sans CJK SC"/>
        <family val="2"/>
      </rPr>
      <t xml:space="preserve">는 감사받지 아니한 수치 </t>
    </r>
    <r>
      <rPr>
        <sz val="10"/>
        <rFont val="맑은 고딕"/>
        <family val="3"/>
        <charset val="129"/>
      </rPr>
      <t>· [</t>
    </r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>15]/[</t>
    </r>
    <r>
      <rPr>
        <sz val="10"/>
        <rFont val="Noto Sans CJK SC"/>
        <family val="2"/>
      </rPr>
      <t>차액</t>
    </r>
    <r>
      <rPr>
        <sz val="10"/>
        <rFont val="맑은 고딕"/>
        <family val="3"/>
        <charset val="129"/>
      </rPr>
      <t>]/[</t>
    </r>
    <r>
      <rPr>
        <sz val="10"/>
        <rFont val="Noto Sans CJK SC"/>
        <family val="2"/>
      </rPr>
      <t>가정치</t>
    </r>
    <r>
      <rPr>
        <sz val="10"/>
        <rFont val="맑은 고딕"/>
        <family val="3"/>
        <charset val="129"/>
      </rPr>
      <t>]/[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행은 보고서 손익계산서 지면에는 없는 행</t>
    </r>
  </si>
  <si>
    <t>구분</t>
  </si>
  <si>
    <t>과 목</t>
  </si>
  <si>
    <r>
      <rPr>
        <b/>
        <sz val="10"/>
        <rFont val="Noto Sans CJK SC"/>
        <family val="2"/>
      </rPr>
      <t>제</t>
    </r>
    <r>
      <rPr>
        <b/>
        <sz val="10"/>
        <rFont val="맑은 고딕"/>
        <family val="3"/>
        <charset val="129"/>
      </rPr>
      <t>3(</t>
    </r>
    <r>
      <rPr>
        <b/>
        <sz val="10"/>
        <rFont val="Noto Sans CJK SC"/>
        <family val="2"/>
      </rPr>
      <t>당</t>
    </r>
    <r>
      <rPr>
        <b/>
        <sz val="10"/>
        <rFont val="맑은 고딕"/>
        <family val="3"/>
        <charset val="129"/>
      </rPr>
      <t>)</t>
    </r>
    <r>
      <rPr>
        <b/>
        <sz val="10"/>
        <rFont val="Noto Sans CJK SC"/>
        <family val="2"/>
      </rPr>
      <t xml:space="preserve">기 </t>
    </r>
    <r>
      <rPr>
        <b/>
        <sz val="10"/>
        <rFont val="맑은 고딕"/>
        <family val="3"/>
        <charset val="129"/>
      </rPr>
      <t>2024</t>
    </r>
  </si>
  <si>
    <t>구성비</t>
  </si>
  <si>
    <t>매출 대비</t>
  </si>
  <si>
    <r>
      <rPr>
        <b/>
        <sz val="10"/>
        <rFont val="Noto Sans CJK SC"/>
        <family val="2"/>
      </rPr>
      <t>제</t>
    </r>
    <r>
      <rPr>
        <b/>
        <sz val="10"/>
        <rFont val="맑은 고딕"/>
        <family val="3"/>
        <charset val="129"/>
      </rPr>
      <t>2(</t>
    </r>
    <r>
      <rPr>
        <b/>
        <sz val="10"/>
        <rFont val="Noto Sans CJK SC"/>
        <family val="2"/>
      </rPr>
      <t>전</t>
    </r>
    <r>
      <rPr>
        <b/>
        <sz val="10"/>
        <rFont val="맑은 고딕"/>
        <family val="3"/>
        <charset val="129"/>
      </rPr>
      <t>)</t>
    </r>
    <r>
      <rPr>
        <b/>
        <sz val="10"/>
        <rFont val="Noto Sans CJK SC"/>
        <family val="2"/>
      </rPr>
      <t xml:space="preserve">기 </t>
    </r>
    <r>
      <rPr>
        <b/>
        <sz val="10"/>
        <rFont val="맑은 고딕"/>
        <family val="3"/>
        <charset val="129"/>
      </rPr>
      <t>2023</t>
    </r>
  </si>
  <si>
    <t>증감</t>
  </si>
  <si>
    <r>
      <rPr>
        <b/>
        <sz val="10"/>
        <rFont val="Noto Sans CJK SC"/>
        <family val="2"/>
      </rPr>
      <t xml:space="preserve">비고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출처</t>
    </r>
  </si>
  <si>
    <r>
      <rPr>
        <b/>
        <sz val="10"/>
        <rFont val="맑은 고딕"/>
        <family val="3"/>
        <charset val="129"/>
      </rPr>
      <t>Ⅰ.</t>
    </r>
    <r>
      <rPr>
        <b/>
        <sz val="10"/>
        <rFont val="Noto Sans CJK SC"/>
        <family val="2"/>
      </rPr>
      <t>매출액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</si>
  <si>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13,146,609,166</t>
    </r>
  </si>
  <si>
    <t>세부</t>
  </si>
  <si>
    <t>기타수입</t>
  </si>
  <si>
    <r>
      <rPr>
        <b/>
        <sz val="10"/>
        <rFont val="맑은 고딕"/>
        <family val="3"/>
        <charset val="129"/>
      </rPr>
      <t>Ⅱ.</t>
    </r>
    <r>
      <rPr>
        <b/>
        <sz val="10"/>
        <rFont val="Noto Sans CJK SC"/>
        <family val="2"/>
      </rPr>
      <t>매출원가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</si>
  <si>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12,246,808,749</t>
    </r>
  </si>
  <si>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>15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</si>
  <si>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 xml:space="preserve">15] </t>
    </r>
    <r>
      <rPr>
        <sz val="10"/>
        <rFont val="Noto Sans CJK SC"/>
        <family val="2"/>
      </rPr>
      <t xml:space="preserve">운항원가 열 </t>
    </r>
    <r>
      <rPr>
        <sz val="10"/>
        <rFont val="맑은 고딕"/>
        <family val="3"/>
        <charset val="129"/>
      </rPr>
      <t>× 1,000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</si>
  <si>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>15]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</si>
  <si>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 xml:space="preserve">15] </t>
    </r>
    <r>
      <rPr>
        <sz val="10"/>
        <rFont val="Noto Sans CJK SC"/>
        <family val="2"/>
      </rPr>
      <t xml:space="preserve">선가 </t>
    </r>
    <r>
      <rPr>
        <sz val="10"/>
        <rFont val="맑은 고딕"/>
        <family val="3"/>
        <charset val="129"/>
      </rPr>
      <t>670</t>
    </r>
    <r>
      <rPr>
        <sz val="10"/>
        <rFont val="Noto Sans CJK SC"/>
        <family val="2"/>
      </rPr>
      <t xml:space="preserve">억 </t>
    </r>
    <r>
      <rPr>
        <sz val="10"/>
        <rFont val="맑은 고딕"/>
        <family val="3"/>
        <charset val="129"/>
      </rPr>
      <t>· 20</t>
    </r>
    <r>
      <rPr>
        <sz val="10"/>
        <rFont val="Noto Sans CJK SC"/>
        <family val="2"/>
      </rPr>
      <t>년 정액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</si>
  <si>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주석</t>
    </r>
    <r>
      <rPr>
        <sz val="10"/>
        <rFont val="맑은 고딕"/>
        <family val="3"/>
        <charset val="129"/>
      </rPr>
      <t xml:space="preserve">15] </t>
    </r>
    <r>
      <rPr>
        <sz val="10"/>
        <rFont val="Noto Sans CJK SC"/>
        <family val="2"/>
      </rPr>
      <t xml:space="preserve">전기 </t>
    </r>
    <r>
      <rPr>
        <sz val="10"/>
        <rFont val="맑은 고딕"/>
        <family val="3"/>
        <charset val="129"/>
      </rPr>
      <t>"-"</t>
    </r>
  </si>
  <si>
    <r>
      <rPr>
        <sz val="10"/>
        <rFont val="Noto Sans CJK SC"/>
        <family val="2"/>
      </rPr>
      <t>운항기타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,</t>
    </r>
    <r>
      <rPr>
        <sz val="10"/>
        <rFont val="Noto Sans CJK SC"/>
        <family val="2"/>
      </rPr>
      <t>연료비</t>
    </r>
    <r>
      <rPr>
        <sz val="10"/>
        <rFont val="맑은 고딕"/>
        <family val="3"/>
        <charset val="129"/>
      </rPr>
      <t>,</t>
    </r>
    <r>
      <rPr>
        <sz val="10"/>
        <rFont val="Noto Sans CJK SC"/>
        <family val="2"/>
      </rPr>
      <t>기타 잡비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</si>
  <si>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차액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 xml:space="preserve">운항원가 − 위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 xml:space="preserve">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반올림 흡수</t>
    </r>
    <r>
      <rPr>
        <sz val="10"/>
        <rFont val="맑은 고딕"/>
        <family val="3"/>
        <charset val="129"/>
      </rPr>
      <t>)</t>
    </r>
  </si>
  <si>
    <t>가정치</t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</si>
  <si>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연료비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</si>
  <si>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가정치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 xml:space="preserve">운항기타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세목 비율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설정값 </t>
    </r>
    <r>
      <rPr>
        <sz val="10"/>
        <rFont val="맑은 고딕"/>
        <family val="3"/>
        <charset val="129"/>
      </rPr>
      <t>A-2)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</si>
  <si>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항비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</si>
  <si>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가정치</t>
    </r>
    <r>
      <rPr>
        <sz val="10"/>
        <rFont val="맑은 고딕"/>
        <family val="3"/>
        <charset val="129"/>
      </rPr>
      <t>]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</si>
  <si>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보험료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</si>
  <si>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수리비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</si>
  <si>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선용품비</t>
    </r>
  </si>
  <si>
    <t>소계</t>
  </si>
  <si>
    <r>
      <rPr>
        <b/>
        <sz val="10"/>
        <rFont val="맑은 고딕"/>
        <family val="3"/>
        <charset val="129"/>
      </rPr>
      <t>Ⅲ.</t>
    </r>
    <r>
      <rPr>
        <b/>
        <sz val="10"/>
        <rFont val="Noto Sans CJK SC"/>
        <family val="2"/>
      </rPr>
      <t>매출총이익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</si>
  <si>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899,800,417</t>
    </r>
  </si>
  <si>
    <r>
      <rPr>
        <b/>
        <sz val="10"/>
        <rFont val="맑은 고딕"/>
        <family val="3"/>
        <charset val="129"/>
      </rPr>
      <t>Ⅳ.</t>
    </r>
    <r>
      <rPr>
        <b/>
        <sz val="10"/>
        <rFont val="Noto Sans CJK SC"/>
        <family val="2"/>
      </rPr>
      <t>판매비와관리비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주</t>
    </r>
    <r>
      <rPr>
        <b/>
        <sz val="10"/>
        <rFont val="맑은 고딕"/>
        <family val="3"/>
        <charset val="129"/>
      </rPr>
      <t>15)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</si>
  <si>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2,979,322,526</t>
    </r>
  </si>
  <si>
    <t>직원급여</t>
  </si>
  <si>
    <t>여비교통비</t>
  </si>
  <si>
    <t>접대비</t>
  </si>
  <si>
    <t>통신비</t>
  </si>
  <si>
    <t>수도광열비</t>
  </si>
  <si>
    <t>지급임차료</t>
  </si>
  <si>
    <t>수선비</t>
  </si>
  <si>
    <t>차량유지비</t>
  </si>
  <si>
    <t>운반비</t>
  </si>
  <si>
    <t>교육훈련비</t>
  </si>
  <si>
    <t>도서인쇄비</t>
  </si>
  <si>
    <t>소모품비</t>
  </si>
  <si>
    <t>판관비 최대 단일 과목</t>
  </si>
  <si>
    <t>광고선전비</t>
  </si>
  <si>
    <t>잡비</t>
  </si>
  <si>
    <r>
      <rPr>
        <b/>
        <sz val="10"/>
        <rFont val="맑은 고딕"/>
        <family val="3"/>
        <charset val="129"/>
      </rPr>
      <t>Ⅴ.</t>
    </r>
    <r>
      <rPr>
        <b/>
        <sz val="10"/>
        <rFont val="Noto Sans CJK SC"/>
        <family val="2"/>
      </rPr>
      <t>영업이익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</si>
  <si>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(2,079,522,109)</t>
    </r>
  </si>
  <si>
    <t>보완</t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</si>
  <si>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감가상각비 되더하기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</si>
  <si>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감가상각비는 운항원가 안에 있다</t>
    </r>
  </si>
  <si>
    <t>EBITDA</t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</si>
  <si>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</si>
  <si>
    <r>
      <rPr>
        <b/>
        <sz val="10"/>
        <rFont val="맑은 고딕"/>
        <family val="3"/>
        <charset val="129"/>
      </rPr>
      <t>Ⅵ.</t>
    </r>
    <r>
      <rPr>
        <b/>
        <sz val="10"/>
        <rFont val="Noto Sans CJK SC"/>
        <family val="2"/>
      </rPr>
      <t>영업외수익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</si>
  <si>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81,389,927</t>
    </r>
  </si>
  <si>
    <t>이자수익</t>
  </si>
  <si>
    <t>외환차익</t>
  </si>
  <si>
    <t>환불위약금</t>
  </si>
  <si>
    <t>잡이익</t>
  </si>
  <si>
    <r>
      <rPr>
        <b/>
        <sz val="10"/>
        <rFont val="맑은 고딕"/>
        <family val="3"/>
        <charset val="129"/>
      </rPr>
      <t>Ⅶ.</t>
    </r>
    <r>
      <rPr>
        <b/>
        <sz val="10"/>
        <rFont val="Noto Sans CJK SC"/>
        <family val="2"/>
      </rPr>
      <t>영업외비용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</si>
  <si>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4,042,055,930</t>
    </r>
  </si>
  <si>
    <r>
      <rPr>
        <sz val="10"/>
        <rFont val="Noto Sans CJK SC"/>
        <family val="2"/>
      </rPr>
      <t>이자비용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5)</t>
    </r>
  </si>
  <si>
    <r>
      <rPr>
        <sz val="10"/>
        <rFont val="Noto Sans CJK SC"/>
        <family val="2"/>
      </rPr>
      <t xml:space="preserve">매출의 </t>
    </r>
    <r>
      <rPr>
        <sz val="10"/>
        <rFont val="맑은 고딕"/>
        <family val="3"/>
        <charset val="129"/>
      </rPr>
      <t xml:space="preserve">30% </t>
    </r>
    <r>
      <rPr>
        <sz val="10"/>
        <rFont val="Noto Sans CJK SC"/>
        <family val="2"/>
      </rPr>
      <t>초과</t>
    </r>
  </si>
  <si>
    <t>유형자산처분손실</t>
  </si>
  <si>
    <t>기부금</t>
  </si>
  <si>
    <t>잡손실</t>
  </si>
  <si>
    <r>
      <rPr>
        <b/>
        <sz val="10"/>
        <rFont val="맑은 고딕"/>
        <family val="3"/>
        <charset val="129"/>
      </rPr>
      <t>Ⅷ.</t>
    </r>
    <r>
      <rPr>
        <b/>
        <sz val="10"/>
        <rFont val="Noto Sans CJK SC"/>
        <family val="2"/>
      </rPr>
      <t>법인세비용차감전순이익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</si>
  <si>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 xml:space="preserve">순손실 </t>
    </r>
    <r>
      <rPr>
        <sz val="10"/>
        <rFont val="맑은 고딕"/>
        <family val="3"/>
        <charset val="129"/>
      </rPr>
      <t xml:space="preserve">6,040,188,112" — </t>
    </r>
    <r>
      <rPr>
        <sz val="10"/>
        <rFont val="Noto Sans CJK SC"/>
        <family val="2"/>
      </rPr>
      <t>여기서는 부호로 표시</t>
    </r>
  </si>
  <si>
    <r>
      <rPr>
        <b/>
        <sz val="10"/>
        <rFont val="맑은 고딕"/>
        <family val="3"/>
        <charset val="129"/>
      </rPr>
      <t>Ⅸ.</t>
    </r>
    <r>
      <rPr>
        <b/>
        <sz val="10"/>
        <rFont val="Noto Sans CJK SC"/>
        <family val="2"/>
      </rPr>
      <t>법인세비용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주</t>
    </r>
    <r>
      <rPr>
        <b/>
        <sz val="10"/>
        <rFont val="맑은 고딕"/>
        <family val="3"/>
        <charset val="129"/>
      </rPr>
      <t>8)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</si>
  <si>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"-"</t>
    </r>
  </si>
  <si>
    <r>
      <rPr>
        <b/>
        <sz val="10"/>
        <rFont val="맑은 고딕"/>
        <family val="3"/>
        <charset val="129"/>
      </rPr>
      <t>Ⅹ.</t>
    </r>
    <r>
      <rPr>
        <b/>
        <sz val="10"/>
        <rFont val="Noto Sans CJK SC"/>
        <family val="2"/>
      </rPr>
      <t>당기순이익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)(</t>
    </r>
    <r>
      <rPr>
        <b/>
        <sz val="10"/>
        <rFont val="Noto Sans CJK SC"/>
        <family val="2"/>
      </rPr>
      <t>주</t>
    </r>
    <r>
      <rPr>
        <b/>
        <sz val="10"/>
        <rFont val="맑은 고딕"/>
        <family val="3"/>
        <charset val="129"/>
      </rPr>
      <t>16,17)</t>
    </r>
  </si>
  <si>
    <r>
      <rPr>
        <sz val="10"/>
        <rFont val="Noto Sans CJK SC"/>
        <family val="2"/>
      </rPr>
      <t xml:space="preserve">보고서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 xml:space="preserve">당기순손실 </t>
    </r>
    <r>
      <rPr>
        <sz val="10"/>
        <rFont val="맑은 고딕"/>
        <family val="3"/>
        <charset val="129"/>
      </rPr>
      <t>6,040,188,112"</t>
    </r>
  </si>
  <si>
    <r>
      <rPr>
        <sz val="10"/>
        <rFont val="Noto Sans CJK SC"/>
        <family val="2"/>
      </rPr>
      <t xml:space="preserve">당기순손익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손실 △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</si>
  <si>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EBITDA </t>
    </r>
    <r>
      <rPr>
        <sz val="10"/>
        <rFont val="Noto Sans CJK SC"/>
        <family val="2"/>
      </rPr>
      <t>조정표 — 교과서 정의 경로</t>
    </r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</si>
  <si>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이자비용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</si>
  <si>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>]</t>
    </r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</si>
  <si>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법인세비용</t>
    </r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</si>
  <si>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감가상각비</t>
    </r>
  </si>
  <si>
    <r>
      <rPr>
        <sz val="10"/>
        <rFont val="Noto Sans CJK SC"/>
        <family val="2"/>
      </rPr>
      <t xml:space="preserve">＝ 소계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영업외손익 포함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</si>
  <si>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(−) </t>
    </r>
    <r>
      <rPr>
        <sz val="10"/>
        <rFont val="Noto Sans CJK SC"/>
        <family val="2"/>
      </rPr>
      <t>영업외수익</t>
    </r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</si>
  <si>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이자 외 영업외비용</t>
    </r>
  </si>
  <si>
    <r>
      <rPr>
        <b/>
        <sz val="10"/>
        <rFont val="Noto Sans CJK SC"/>
        <family val="2"/>
      </rPr>
      <t xml:space="preserve">＝ </t>
    </r>
    <r>
      <rPr>
        <b/>
        <sz val="10"/>
        <rFont val="맑은 고딕"/>
        <family val="3"/>
        <charset val="129"/>
      </rPr>
      <t xml:space="preserve">EBITDA (Ⅴ </t>
    </r>
    <r>
      <rPr>
        <b/>
        <sz val="10"/>
        <rFont val="Noto Sans CJK SC"/>
        <family val="2"/>
      </rPr>
      <t>기준과 일치</t>
    </r>
    <r>
      <rPr>
        <b/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</si>
  <si>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두 경로가 같은 값에 닿는다</t>
    </r>
  </si>
  <si>
    <r>
      <rPr>
        <sz val="10"/>
        <rFont val="Noto Sans CJK SC"/>
        <family val="2"/>
      </rPr>
      <t>출처</t>
    </r>
    <r>
      <rPr>
        <sz val="10"/>
        <rFont val="맑은 고딕"/>
        <family val="3"/>
        <charset val="129"/>
      </rPr>
      <t>: [</t>
    </r>
    <r>
      <rPr>
        <sz val="10"/>
        <rFont val="Noto Sans CJK SC"/>
        <family val="2"/>
      </rPr>
      <t>대저페리</t>
    </r>
    <r>
      <rPr>
        <sz val="10"/>
        <rFont val="맑은 고딕"/>
        <family val="3"/>
        <charset val="129"/>
      </rPr>
      <t>]</t>
    </r>
    <r>
      <rPr>
        <sz val="10"/>
        <rFont val="Noto Sans CJK SC"/>
        <family val="2"/>
      </rPr>
      <t>감사보고서</t>
    </r>
    <r>
      <rPr>
        <sz val="10"/>
        <rFont val="맑은 고딕"/>
        <family val="3"/>
        <charset val="129"/>
      </rPr>
      <t xml:space="preserve">(2025.04.09).pdf — </t>
    </r>
    <r>
      <rPr>
        <sz val="10"/>
        <rFont val="Noto Sans CJK SC"/>
        <family val="2"/>
      </rPr>
      <t xml:space="preserve">신한회계법인 </t>
    </r>
    <r>
      <rPr>
        <sz val="10"/>
        <rFont val="맑은 고딕"/>
        <family val="3"/>
        <charset val="129"/>
      </rPr>
      <t xml:space="preserve">· 2025.03.31 · </t>
    </r>
    <r>
      <rPr>
        <sz val="10"/>
        <rFont val="Noto Sans CJK SC"/>
        <family val="2"/>
      </rPr>
      <t xml:space="preserve">의견거절 </t>
    </r>
    <r>
      <rPr>
        <sz val="10"/>
        <rFont val="맑은 고딕"/>
        <family val="3"/>
        <charset val="129"/>
      </rPr>
      <t xml:space="preserve">· DART </t>
    </r>
    <r>
      <rPr>
        <sz val="10"/>
        <rFont val="Noto Sans CJK SC"/>
        <family val="2"/>
      </rPr>
      <t xml:space="preserve">전자공시 </t>
    </r>
    <r>
      <rPr>
        <sz val="10"/>
        <rFont val="맑은 고딕"/>
        <family val="3"/>
        <charset val="129"/>
      </rPr>
      <t>https://dart.fss.or.kr/</t>
    </r>
  </si>
  <si>
    <r>
      <rPr>
        <sz val="10"/>
        <rFont val="Noto Sans CJK SC"/>
        <family val="2"/>
      </rPr>
      <t xml:space="preserve">운항원가 세부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 xml:space="preserve">줄은 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>운항원가 열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천원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3"/>
        <charset val="129"/>
      </rPr>
      <t xml:space="preserve">×1,000 </t>
    </r>
    <r>
      <rPr>
        <sz val="10"/>
        <rFont val="Noto Sans CJK SC"/>
        <family val="2"/>
      </rPr>
      <t>해서 원으로 맞춘 값</t>
    </r>
    <r>
      <rPr>
        <sz val="10"/>
        <rFont val="맑은 고딕"/>
        <family val="3"/>
        <charset val="129"/>
      </rPr>
      <t>. "</t>
    </r>
    <r>
      <rPr>
        <sz val="10"/>
        <rFont val="Noto Sans CJK SC"/>
        <family val="2"/>
      </rPr>
      <t>운항기타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 xml:space="preserve">는 운항원가 총액에서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>줄을 뺀 차액이라 반올림까지 흡수한다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</si>
  <si>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운항기타 세목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줄은 가정 비율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설정값 </t>
    </r>
    <r>
      <rPr>
        <sz val="10"/>
        <rFont val="맑은 고딕"/>
        <family val="3"/>
        <charset val="129"/>
      </rPr>
      <t>A-2)</t>
    </r>
    <r>
      <rPr>
        <sz val="10"/>
        <rFont val="Noto Sans CJK SC"/>
        <family val="2"/>
      </rPr>
      <t>로 나눈 값 — 금액이 아니라 비율을 가정하므로 합계는 언제나 보고서 잔액 그대로다</t>
    </r>
    <r>
      <rPr>
        <sz val="10"/>
        <rFont val="맑은 고딕"/>
        <family val="3"/>
        <charset val="129"/>
      </rPr>
      <t>.</t>
    </r>
  </si>
  <si>
    <r>
      <rPr>
        <b/>
        <sz val="16"/>
        <rFont val="Noto Sans CJK SC"/>
        <family val="2"/>
      </rPr>
      <t xml:space="preserve">감사보고서 주석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보조 자료</t>
    </r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</si>
  <si>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>부가가치 관련자료는 천원 공시 — 보고서 표기 그대로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운항원가의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분해표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 xml:space="preserve">가 아니라 부가가치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>개 계정만 판관비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운항원가로 가른 표다</t>
    </r>
    <r>
      <rPr>
        <sz val="10"/>
        <rFont val="맑은 고딕"/>
        <family val="3"/>
        <charset val="129"/>
      </rPr>
      <t>.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</si>
  <si>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 xml:space="preserve">주석 </t>
    </r>
    <r>
      <rPr>
        <b/>
        <sz val="11"/>
        <rFont val="맑은 고딕"/>
        <family val="3"/>
        <charset val="129"/>
      </rPr>
      <t xml:space="preserve">15 </t>
    </r>
    <r>
      <rPr>
        <b/>
        <sz val="11"/>
        <rFont val="Noto Sans CJK SC"/>
        <family val="2"/>
      </rPr>
      <t xml:space="preserve">부가가치 관련자료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단위</t>
    </r>
    <r>
      <rPr>
        <b/>
        <sz val="11"/>
        <rFont val="맑은 고딕"/>
        <family val="3"/>
        <charset val="129"/>
      </rPr>
      <t xml:space="preserve">: </t>
    </r>
    <r>
      <rPr>
        <b/>
        <sz val="11"/>
        <rFont val="Noto Sans CJK SC"/>
        <family val="2"/>
      </rPr>
      <t>천원</t>
    </r>
    <r>
      <rPr>
        <b/>
        <sz val="11"/>
        <rFont val="맑은 고딕"/>
        <family val="3"/>
        <charset val="129"/>
      </rPr>
      <t>)</t>
    </r>
  </si>
  <si>
    <t>계정과목</t>
  </si>
  <si>
    <t>당기 판관비</t>
  </si>
  <si>
    <t>당기 운항원가</t>
  </si>
  <si>
    <t>당기 합계</t>
  </si>
  <si>
    <t>전기 판관비</t>
  </si>
  <si>
    <t>전기 운항원가</t>
  </si>
  <si>
    <t>전기 합계</t>
  </si>
  <si>
    <t>인건비 소계 ← 선원비에 해당</t>
  </si>
  <si>
    <r>
      <rPr>
        <b/>
        <sz val="10"/>
        <rFont val="Noto Sans CJK SC"/>
        <family val="2"/>
      </rPr>
      <t xml:space="preserve">주석 </t>
    </r>
    <r>
      <rPr>
        <b/>
        <sz val="10"/>
        <rFont val="맑은 고딕"/>
        <family val="3"/>
        <charset val="129"/>
      </rPr>
      <t xml:space="preserve">15 </t>
    </r>
    <r>
      <rPr>
        <b/>
        <sz val="10"/>
        <rFont val="Noto Sans CJK SC"/>
        <family val="2"/>
      </rPr>
      <t>합계</t>
    </r>
  </si>
  <si>
    <r>
      <rPr>
        <b/>
        <sz val="10"/>
        <color rgb="FFFF0000"/>
        <rFont val="Noto Sans CJK SC"/>
        <family val="2"/>
      </rPr>
      <t xml:space="preserve">운항원가 총액과의 간극 </t>
    </r>
    <r>
      <rPr>
        <b/>
        <sz val="10"/>
        <color rgb="FFFF0000"/>
        <rFont val="맑은 고딕"/>
        <family val="3"/>
        <charset val="129"/>
      </rPr>
      <t>(</t>
    </r>
    <r>
      <rPr>
        <b/>
        <sz val="10"/>
        <color rgb="FFFF0000"/>
        <rFont val="Noto Sans CJK SC"/>
        <family val="2"/>
      </rPr>
      <t>천원</t>
    </r>
    <r>
      <rPr>
        <b/>
        <sz val="10"/>
        <color rgb="FFFF000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</si>
  <si>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손익계산서 운항원가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천원</t>
    </r>
    <r>
      <rPr>
        <sz val="10"/>
        <rFont val="맑은 고딕"/>
        <family val="3"/>
        <charset val="129"/>
      </rPr>
      <t xml:space="preserve">) − 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 xml:space="preserve">운항원가 열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보고서 어디에도 갈라 적혀 있지 않은 금액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연료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수선비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보험료 등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</si>
  <si>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>15</t>
    </r>
    <r>
      <rPr>
        <sz val="10"/>
        <rFont val="Noto Sans CJK SC"/>
        <family val="2"/>
      </rPr>
      <t>를 운항원가 분해표로 읽으면 틀린다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인건비 성격은 위 세 줄뿐이고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선원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육상 운항지원 구분은 불가</t>
    </r>
    <r>
      <rPr>
        <sz val="10"/>
        <rFont val="맑은 고딕"/>
        <family val="3"/>
        <charset val="129"/>
      </rPr>
      <t>.</t>
    </r>
  </si>
  <si>
    <r>
      <rPr>
        <b/>
        <sz val="11"/>
        <rFont val="맑은 고딕"/>
        <family val="3"/>
        <charset val="129"/>
      </rPr>
      <t xml:space="preserve">2. </t>
    </r>
    <r>
      <rPr>
        <b/>
        <sz val="11"/>
        <rFont val="Noto Sans CJK SC"/>
        <family val="2"/>
      </rPr>
      <t xml:space="preserve">그 밖의 주석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재무제표 값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원</t>
    </r>
    <r>
      <rPr>
        <b/>
        <sz val="11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</si>
  <si>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당기 </t>
    </r>
    <r>
      <rPr>
        <b/>
        <sz val="10"/>
        <rFont val="맑은 고딕"/>
        <family val="3"/>
        <charset val="129"/>
      </rPr>
      <t>2024</t>
    </r>
  </si>
  <si>
    <r>
      <rPr>
        <b/>
        <sz val="10"/>
        <rFont val="Noto Sans CJK SC"/>
        <family val="2"/>
      </rPr>
      <t xml:space="preserve">전기 </t>
    </r>
    <r>
      <rPr>
        <b/>
        <sz val="10"/>
        <rFont val="맑은 고딕"/>
        <family val="3"/>
        <charset val="129"/>
      </rPr>
      <t>2023</t>
    </r>
  </si>
  <si>
    <t>출처</t>
  </si>
  <si>
    <t>퇴직급여충당부채 당기 전입액</t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</si>
  <si>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>7</t>
    </r>
  </si>
  <si>
    <t>영업활동으로 인한 현금흐름</t>
  </si>
  <si>
    <r>
      <rPr>
        <sz val="10"/>
        <rFont val="Noto Sans CJK SC"/>
        <family val="2"/>
      </rPr>
      <t xml:space="preserve">현금흐름표 — </t>
    </r>
    <r>
      <rPr>
        <sz val="10"/>
        <rFont val="맑은 고딕"/>
        <family val="3"/>
        <charset val="129"/>
      </rPr>
      <t xml:space="preserve">EBITDA </t>
    </r>
    <r>
      <rPr>
        <sz val="10"/>
        <rFont val="Noto Sans CJK SC"/>
        <family val="2"/>
      </rPr>
      <t>흑자의 현실 점검용</t>
    </r>
  </si>
  <si>
    <r>
      <rPr>
        <sz val="10"/>
        <rFont val="Noto Sans CJK SC"/>
        <family val="2"/>
      </rPr>
      <t xml:space="preserve">부가세예수금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기말 잔액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</si>
  <si>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재무상태표 유동부채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전기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감사받지 아니함</t>
    </r>
    <r>
      <rPr>
        <sz val="10"/>
        <rFont val="맑은 고딕"/>
        <family val="3"/>
        <charset val="129"/>
      </rPr>
      <t>)</t>
    </r>
  </si>
  <si>
    <r>
      <rPr>
        <b/>
        <sz val="16"/>
        <rFont val="Noto Sans CJK SC"/>
        <family val="2"/>
      </rPr>
      <t xml:space="preserve">원가 구조 — 기준 자료 </t>
    </r>
    <r>
      <rPr>
        <b/>
        <sz val="16"/>
        <rFont val="맑은 고딕"/>
        <family val="3"/>
        <charset val="129"/>
      </rPr>
      <t>(</t>
    </r>
    <r>
      <rPr>
        <b/>
        <sz val="16"/>
        <rFont val="Noto Sans CJK SC"/>
        <family val="2"/>
      </rPr>
      <t>대저페리 제</t>
    </r>
    <r>
      <rPr>
        <b/>
        <sz val="16"/>
        <rFont val="맑은 고딕"/>
        <family val="3"/>
        <charset val="129"/>
      </rPr>
      <t>3</t>
    </r>
    <r>
      <rPr>
        <b/>
        <sz val="16"/>
        <rFont val="Noto Sans CJK SC"/>
        <family val="2"/>
      </rPr>
      <t xml:space="preserve">기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참조 선박</t>
    </r>
    <r>
      <rPr>
        <b/>
        <sz val="16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</si>
  <si>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감사보고서 값에서 파생되는 중간값과 </t>
    </r>
    <r>
      <rPr>
        <sz val="10"/>
        <rFont val="맑은 고딕"/>
        <family val="3"/>
        <charset val="129"/>
      </rPr>
      <t xml:space="preserve">BEP </t>
    </r>
    <r>
      <rPr>
        <sz val="10"/>
        <rFont val="Noto Sans CJK SC"/>
        <family val="2"/>
      </rPr>
      <t>모형의 입력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고정비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준변동비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변동비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을 세운다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단위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원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</si>
  <si>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>감사보고서 파생값</t>
    </r>
  </si>
  <si>
    <t>금액</t>
  </si>
  <si>
    <t>산식</t>
  </si>
  <si>
    <t>손익계산서 Ⅰ 여객수입</t>
  </si>
  <si>
    <t>매출액</t>
  </si>
  <si>
    <t>손익계산서 Ⅰ</t>
  </si>
  <si>
    <r>
      <rPr>
        <sz val="10"/>
        <rFont val="Noto Sans CJK SC"/>
        <family val="2"/>
      </rPr>
      <t xml:space="preserve">여객 외 수입 </t>
    </r>
    <r>
      <rPr>
        <sz val="10"/>
        <rFont val="맑은 고딕"/>
        <family val="3"/>
        <charset val="129"/>
      </rPr>
      <t>(O)</t>
    </r>
  </si>
  <si>
    <r>
      <rPr>
        <sz val="10"/>
        <rFont val="Noto Sans CJK SC"/>
        <family val="2"/>
      </rPr>
      <t xml:space="preserve">매출액 − 여객수입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화물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임대료 등 </t>
    </r>
    <r>
      <rPr>
        <sz val="10"/>
        <rFont val="맑은 고딕"/>
        <family val="3"/>
        <charset val="129"/>
      </rPr>
      <t xml:space="preserve">· BEP </t>
    </r>
    <r>
      <rPr>
        <sz val="10"/>
        <rFont val="Noto Sans CJK SC"/>
        <family val="2"/>
      </rPr>
      <t xml:space="preserve">모형의 </t>
    </r>
    <r>
      <rPr>
        <sz val="10"/>
        <rFont val="맑은 고딕"/>
        <family val="3"/>
        <charset val="129"/>
      </rPr>
      <t>O</t>
    </r>
  </si>
  <si>
    <r>
      <rPr>
        <sz val="10"/>
        <rFont val="Noto Sans CJK SC"/>
        <family val="2"/>
      </rPr>
      <t xml:space="preserve">화물 외 기타수입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임대료 등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</si>
  <si>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운항원가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매출원가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</si>
  <si>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영업이익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손실</t>
    </r>
    <r>
      <rPr>
        <sz val="10"/>
        <rFont val="맑은 고딕"/>
        <family val="3"/>
        <charset val="129"/>
      </rPr>
      <t>)</t>
    </r>
  </si>
  <si>
    <t>전액 운항원가에 들어가 있다</t>
  </si>
  <si>
    <r>
      <rPr>
        <sz val="10"/>
        <rFont val="Noto Sans CJK SC"/>
        <family val="2"/>
      </rPr>
      <t xml:space="preserve">판관 급여영역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과목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직원급여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퇴직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</si>
  <si>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판관 그 밖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급여영역 제외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</si>
  <si>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판관 그 밖 </t>
    </r>
    <r>
      <rPr>
        <sz val="10"/>
        <rFont val="맑은 고딕"/>
        <family val="3"/>
        <charset val="129"/>
      </rPr>
      <t>13</t>
    </r>
    <r>
      <rPr>
        <sz val="10"/>
        <rFont val="Noto Sans CJK SC"/>
        <family val="2"/>
      </rPr>
      <t xml:space="preserve">과목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지급수수료 제외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</si>
  <si>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과목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>15)</t>
    </r>
  </si>
  <si>
    <r>
      <rPr>
        <sz val="10"/>
        <rFont val="Noto Sans CJK SC"/>
        <family val="2"/>
      </rPr>
      <t>해상직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선원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승무원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인건비</t>
    </r>
  </si>
  <si>
    <t>전사 인건비</t>
  </si>
  <si>
    <r>
      <rPr>
        <sz val="10"/>
        <rFont val="Noto Sans CJK SC"/>
        <family val="2"/>
      </rPr>
      <t xml:space="preserve">운항 세금과공과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임차료</t>
    </r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</si>
  <si>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>15</t>
    </r>
    <r>
      <rPr>
        <sz val="10"/>
        <rFont val="Noto Sans CJK SC"/>
        <family val="2"/>
      </rPr>
      <t>에 기재된 운항원가</t>
    </r>
  </si>
  <si>
    <r>
      <rPr>
        <b/>
        <sz val="10"/>
        <rFont val="Noto Sans CJK SC"/>
        <family val="2"/>
      </rPr>
      <t xml:space="preserve">운항기타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주석 미기재 잔액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</si>
  <si>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연료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수선비 등 — 보고서에 갈라 적혀 있지 않다</t>
    </r>
  </si>
  <si>
    <r>
      <rPr>
        <b/>
        <sz val="11"/>
        <rFont val="맑은 고딕"/>
        <family val="3"/>
        <charset val="129"/>
      </rPr>
      <t xml:space="preserve">2. </t>
    </r>
    <r>
      <rPr>
        <b/>
        <sz val="11"/>
        <rFont val="Noto Sans CJK SC"/>
        <family val="2"/>
      </rPr>
      <t xml:space="preserve">인력 </t>
    </r>
    <r>
      <rPr>
        <b/>
        <sz val="11"/>
        <rFont val="맑은 고딕"/>
        <family val="3"/>
        <charset val="129"/>
      </rPr>
      <t>· 1</t>
    </r>
    <r>
      <rPr>
        <b/>
        <sz val="11"/>
        <rFont val="Noto Sans CJK SC"/>
        <family val="2"/>
      </rPr>
      <t>인당 인건비</t>
    </r>
  </si>
  <si>
    <r>
      <rPr>
        <sz val="10"/>
        <rFont val="Noto Sans CJK SC"/>
        <family val="2"/>
      </rPr>
      <t xml:space="preserve">판관 급여영역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퇴직 포함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</si>
  <si>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급여영역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과목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 xml:space="preserve">기준 인원 </t>
    </r>
    <r>
      <rPr>
        <sz val="10"/>
        <rFont val="맑은 고딕"/>
        <family val="3"/>
        <charset val="129"/>
      </rPr>
      <t>30</t>
    </r>
    <r>
      <rPr>
        <sz val="10"/>
        <rFont val="Noto Sans CJK SC"/>
        <family val="2"/>
      </rPr>
      <t>명</t>
    </r>
  </si>
  <si>
    <r>
      <rPr>
        <b/>
        <sz val="10"/>
        <rFont val="Noto Sans CJK SC"/>
        <family val="2"/>
      </rPr>
      <t xml:space="preserve">지상직 </t>
    </r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인당 현금 인건비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연</t>
    </r>
    <r>
      <rPr>
        <b/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</si>
  <si>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직원급여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복리후생비</t>
    </r>
    <r>
      <rPr>
        <sz val="10"/>
        <rFont val="맑은 고딕"/>
        <family val="3"/>
        <charset val="129"/>
      </rPr>
      <t xml:space="preserve">) ÷ 30 — </t>
    </r>
    <r>
      <rPr>
        <sz val="10"/>
        <rFont val="Noto Sans CJK SC"/>
        <family val="2"/>
      </rPr>
      <t xml:space="preserve">헤더 </t>
    </r>
    <r>
      <rPr>
        <sz val="10"/>
        <rFont val="맑은 고딕"/>
        <family val="3"/>
        <charset val="129"/>
      </rPr>
      <t>"1</t>
    </r>
    <r>
      <rPr>
        <sz val="10"/>
        <rFont val="Noto Sans CJK SC"/>
        <family val="2"/>
      </rPr>
      <t>인당 인건비</t>
    </r>
    <r>
      <rPr>
        <sz val="10"/>
        <rFont val="맑은 고딕"/>
        <family val="3"/>
        <charset val="129"/>
      </rPr>
      <t>"</t>
    </r>
  </si>
  <si>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퇴직급여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비현금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</si>
  <si>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현금 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</si>
  <si>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해상직 인원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선원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승무원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</si>
  <si>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해상직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퇴직 포함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</si>
  <si>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해상직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현금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</si>
  <si>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판관 급여영역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설정 지상직 인원 기준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</si>
  <si>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지상직 </t>
    </r>
    <r>
      <rPr>
        <sz val="10"/>
        <rFont val="맑은 고딕"/>
        <family val="3"/>
        <charset val="129"/>
      </rPr>
      <t>× 1</t>
    </r>
    <r>
      <rPr>
        <sz val="10"/>
        <rFont val="Noto Sans CJK SC"/>
        <family val="2"/>
      </rPr>
      <t>인당 — 판관 급여영역만 직원 수에 따라 움직인다</t>
    </r>
  </si>
  <si>
    <r>
      <rPr>
        <b/>
        <sz val="11"/>
        <rFont val="맑은 고딕"/>
        <family val="3"/>
        <charset val="129"/>
      </rPr>
      <t xml:space="preserve">3. </t>
    </r>
    <r>
      <rPr>
        <b/>
        <sz val="11"/>
        <rFont val="Noto Sans CJK SC"/>
        <family val="2"/>
      </rPr>
      <t xml:space="preserve">좌석 등급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실현 단가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>승객수</t>
    </r>
  </si>
  <si>
    <t>등급</t>
  </si>
  <si>
    <t>배율</t>
  </si>
  <si>
    <t>이코노미</t>
  </si>
  <si>
    <t>비즈니스</t>
  </si>
  <si>
    <t>퍼스트</t>
  </si>
  <si>
    <t>구성비 합계</t>
  </si>
  <si>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구성비 합</t>
    </r>
  </si>
  <si>
    <t>가중평균 운임</t>
  </si>
  <si>
    <t>구성비가 비면 이코노미 단일 운임</t>
  </si>
  <si>
    <r>
      <rPr>
        <sz val="10"/>
        <rFont val="맑은 고딕"/>
        <family val="3"/>
        <charset val="129"/>
      </rPr>
      <t xml:space="preserve">(+) </t>
    </r>
    <r>
      <rPr>
        <sz val="10"/>
        <rFont val="Noto Sans CJK SC"/>
        <family val="2"/>
      </rPr>
      <t>유류할증료</t>
    </r>
  </si>
  <si>
    <r>
      <rPr>
        <b/>
        <sz val="10"/>
        <rFont val="Noto Sans CJK SC"/>
        <family val="2"/>
      </rPr>
      <t xml:space="preserve">＝ 실현 단가 </t>
    </r>
    <r>
      <rPr>
        <b/>
        <sz val="10"/>
        <rFont val="맑은 고딕"/>
        <family val="3"/>
        <charset val="129"/>
      </rPr>
      <t>(P)</t>
    </r>
  </si>
  <si>
    <t>유류할증료는 회계상 여객수입에 들어가므로 단가에 더한다</t>
  </si>
  <si>
    <r>
      <rPr>
        <b/>
        <sz val="10"/>
        <rFont val="Noto Sans CJK SC"/>
        <family val="2"/>
      </rPr>
      <t xml:space="preserve">실적 역산 승객수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환산 유상여객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</si>
  <si>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여객수입 </t>
    </r>
    <r>
      <rPr>
        <sz val="10"/>
        <rFont val="맑은 고딕"/>
        <family val="3"/>
        <charset val="129"/>
      </rPr>
      <t>12,814</t>
    </r>
    <r>
      <rPr>
        <sz val="10"/>
        <rFont val="Noto Sans CJK SC"/>
        <family val="2"/>
      </rPr>
      <t xml:space="preserve">백만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실현 단가 — 실제 탑승 인원이 아니라 환산 단위</t>
    </r>
  </si>
  <si>
    <t>시뮬레이션 승객수</t>
  </si>
  <si>
    <t>참조 선박 정원</t>
  </si>
  <si>
    <t>엘도라도 익스프레스호</t>
  </si>
  <si>
    <t>승선율</t>
  </si>
  <si>
    <r>
      <rPr>
        <sz val="10"/>
        <rFont val="Noto Sans CJK SC"/>
        <family val="2"/>
      </rPr>
      <t xml:space="preserve">승객수 </t>
    </r>
    <r>
      <rPr>
        <sz val="10"/>
        <rFont val="맑은 고딕"/>
        <family val="3"/>
        <charset val="129"/>
      </rPr>
      <t>÷ 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항차수</t>
    </r>
    <r>
      <rPr>
        <sz val="10"/>
        <rFont val="맑은 고딕"/>
        <family val="3"/>
        <charset val="129"/>
      </rPr>
      <t>)</t>
    </r>
  </si>
  <si>
    <t>항차당 승객</t>
  </si>
  <si>
    <r>
      <rPr>
        <sz val="10"/>
        <rFont val="Noto Sans CJK SC"/>
        <family val="2"/>
      </rPr>
      <t xml:space="preserve">가동율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편도 항차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</si>
  <si>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항차 </t>
    </r>
    <r>
      <rPr>
        <sz val="10"/>
        <rFont val="맑은 고딕"/>
        <family val="3"/>
        <charset val="129"/>
      </rPr>
      <t>÷ 730</t>
    </r>
    <r>
      <rPr>
        <sz val="10"/>
        <rFont val="Noto Sans CJK SC"/>
        <family val="2"/>
      </rPr>
      <t>일</t>
    </r>
    <r>
      <rPr>
        <sz val="10"/>
        <rFont val="맑은 고딕"/>
        <family val="3"/>
        <charset val="129"/>
      </rPr>
      <t>(365×2)</t>
    </r>
  </si>
  <si>
    <r>
      <rPr>
        <b/>
        <sz val="11"/>
        <rFont val="맑은 고딕"/>
        <family val="3"/>
        <charset val="129"/>
      </rPr>
      <t xml:space="preserve">4. </t>
    </r>
    <r>
      <rPr>
        <b/>
        <sz val="11"/>
        <rFont val="Noto Sans CJK SC"/>
        <family val="2"/>
      </rPr>
      <t>운항기타 세목 — 비율만 가정</t>
    </r>
    <r>
      <rPr>
        <b/>
        <sz val="11"/>
        <rFont val="맑은 고딕"/>
        <family val="3"/>
        <charset val="129"/>
      </rPr>
      <t xml:space="preserve">, </t>
    </r>
    <r>
      <rPr>
        <b/>
        <sz val="11"/>
        <rFont val="Noto Sans CJK SC"/>
        <family val="2"/>
      </rPr>
      <t>합계는 보고서 잔액 고정</t>
    </r>
  </si>
  <si>
    <t>입력 비율</t>
  </si>
  <si>
    <t>정규화 비율</t>
  </si>
  <si>
    <t>항차당</t>
  </si>
  <si>
    <t>근거</t>
  </si>
  <si>
    <t>합계</t>
  </si>
  <si>
    <r>
      <rPr>
        <sz val="10"/>
        <rFont val="Noto Sans CJK SC"/>
        <family val="2"/>
      </rPr>
      <t xml:space="preserve">입력 비율 합이 </t>
    </r>
    <r>
      <rPr>
        <sz val="10"/>
        <rFont val="맑은 고딕"/>
        <family val="3"/>
        <charset val="129"/>
      </rPr>
      <t>100%</t>
    </r>
    <r>
      <rPr>
        <sz val="10"/>
        <rFont val="Noto Sans CJK SC"/>
        <family val="2"/>
      </rPr>
      <t>가 아니어도 정규화 — 세목 합계는 언제나 운항기타 잔액과 같다</t>
    </r>
  </si>
  <si>
    <r>
      <rPr>
        <b/>
        <sz val="11"/>
        <rFont val="맑은 고딕"/>
        <family val="3"/>
        <charset val="129"/>
      </rPr>
      <t xml:space="preserve">5. </t>
    </r>
    <r>
      <rPr>
        <b/>
        <sz val="11"/>
        <rFont val="Noto Sans CJK SC"/>
        <family val="2"/>
      </rPr>
      <t xml:space="preserve">원가 구성 — 고정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준변동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변동 </t>
    </r>
    <r>
      <rPr>
        <b/>
        <sz val="11"/>
        <rFont val="맑은 고딕"/>
        <family val="3"/>
        <charset val="129"/>
      </rPr>
      <t xml:space="preserve">(BEP </t>
    </r>
    <r>
      <rPr>
        <b/>
        <sz val="11"/>
        <rFont val="Noto Sans CJK SC"/>
        <family val="2"/>
      </rPr>
      <t>모형 입력</t>
    </r>
    <r>
      <rPr>
        <b/>
        <sz val="11"/>
        <rFont val="맑은 고딕"/>
        <family val="3"/>
        <charset val="129"/>
      </rPr>
      <t>)</t>
    </r>
  </si>
  <si>
    <t>포함</t>
  </si>
  <si>
    <t>op</t>
  </si>
  <si>
    <t>sga</t>
  </si>
  <si>
    <t xml:space="preserve">  └ 운항원가 몫</t>
  </si>
  <si>
    <t xml:space="preserve">  └ 판관비 몫</t>
  </si>
  <si>
    <t>준변동비 항차당 단가</t>
  </si>
  <si>
    <r>
      <rPr>
        <sz val="10"/>
        <rFont val="Noto Sans CJK SC"/>
        <family val="2"/>
      </rPr>
      <t xml:space="preserve">준변동비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설정 항차 — 기준점에서 다시 곱하면 원래 금액</t>
    </r>
  </si>
  <si>
    <t>변동비 승객당 단가</t>
  </si>
  <si>
    <r>
      <rPr>
        <sz val="10"/>
        <rFont val="Noto Sans CJK SC"/>
        <family val="2"/>
      </rPr>
      <t xml:space="preserve">변동비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실적 역산 승객수</t>
    </r>
  </si>
  <si>
    <r>
      <rPr>
        <b/>
        <sz val="10"/>
        <rFont val="Noto Sans CJK SC"/>
        <family val="2"/>
      </rPr>
      <t xml:space="preserve">승객 </t>
    </r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 증가분 </t>
    </r>
    <r>
      <rPr>
        <b/>
        <sz val="10"/>
        <rFont val="맑은 고딕"/>
        <family val="3"/>
        <charset val="129"/>
      </rPr>
      <t>(v)</t>
    </r>
  </si>
  <si>
    <r>
      <rPr>
        <sz val="10"/>
        <rFont val="Noto Sans CJK SC"/>
        <family val="2"/>
      </rPr>
      <t xml:space="preserve">변동비 단가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수동 추가 변동비</t>
    </r>
  </si>
  <si>
    <t>공헌이익률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</si>
  <si>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운임 − 변동비</t>
    </r>
    <r>
      <rPr>
        <sz val="10"/>
        <rFont val="맑은 고딕"/>
        <family val="3"/>
        <charset val="129"/>
      </rPr>
      <t xml:space="preserve">) ÷ </t>
    </r>
    <r>
      <rPr>
        <sz val="10"/>
        <rFont val="Noto Sans CJK SC"/>
        <family val="2"/>
      </rPr>
      <t>운임 — 고정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준변동을 메우러 가는 몫</t>
    </r>
  </si>
  <si>
    <r>
      <rPr>
        <sz val="10"/>
        <rFont val="맑은 고딕"/>
        <family val="3"/>
        <charset val="129"/>
      </rPr>
      <t xml:space="preserve">EBITDA </t>
    </r>
    <r>
      <rPr>
        <sz val="10"/>
        <rFont val="Noto Sans CJK SC"/>
        <family val="2"/>
      </rPr>
      <t>기준 여부</t>
    </r>
  </si>
  <si>
    <t>비중</t>
  </si>
  <si>
    <t>동인</t>
  </si>
  <si>
    <r>
      <rPr>
        <sz val="10"/>
        <rFont val="Noto Sans CJK SC"/>
        <family val="2"/>
      </rPr>
      <t xml:space="preserve">적용 항차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승객이 정원을 넘으면 증가</t>
    </r>
    <r>
      <rPr>
        <sz val="10"/>
        <rFont val="맑은 고딕"/>
        <family val="3"/>
        <charset val="129"/>
      </rPr>
      <t>)</t>
    </r>
  </si>
  <si>
    <t>총비용</t>
  </si>
  <si>
    <r>
      <rPr>
        <b/>
        <sz val="16"/>
        <rFont val="Noto Sans CJK SC"/>
        <family val="2"/>
      </rPr>
      <t xml:space="preserve">손익계산서 — 대조 선박 </t>
    </r>
    <r>
      <rPr>
        <b/>
        <sz val="16"/>
        <rFont val="맑은 고딕"/>
        <family val="3"/>
        <charset val="129"/>
      </rPr>
      <t>(</t>
    </r>
    <r>
      <rPr>
        <b/>
        <sz val="16"/>
        <rFont val="Noto Sans CJK SC"/>
        <family val="2"/>
      </rPr>
      <t xml:space="preserve">하카타 항로 투입 시나리오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단일연도</t>
    </r>
    <r>
      <rPr>
        <b/>
        <sz val="16"/>
        <rFont val="맑은 고딕"/>
        <family val="3"/>
        <charset val="129"/>
      </rPr>
      <t>)</t>
    </r>
  </si>
  <si>
    <r>
      <rPr>
        <sz val="10"/>
        <rFont val="Noto Sans CJK SC"/>
        <family val="2"/>
      </rPr>
      <t>감사보고서 원가 구조 위에 대조 선박의 인력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항차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운임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선가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차입 조건을 얹어 다시 세운 손익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단위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원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</si>
  <si>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 xml:space="preserve">대조 선박 파생값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스케일 규칙</t>
    </r>
    <r>
      <rPr>
        <b/>
        <sz val="11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</si>
  <si>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산식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규칙</t>
    </r>
  </si>
  <si>
    <t>여객정원</t>
  </si>
  <si>
    <r>
      <rPr>
        <sz val="10"/>
        <rFont val="Noto Sans CJK SC"/>
        <family val="2"/>
      </rPr>
      <t>운임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선박 시트 선박 제원</t>
    </r>
  </si>
  <si>
    <t>분석 상태</t>
  </si>
  <si>
    <r>
      <rPr>
        <sz val="10"/>
        <rFont val="Noto Sans CJK SC"/>
        <family val="2"/>
      </rPr>
      <t xml:space="preserve">임대료수입 제외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산타모니카호</t>
    </r>
    <r>
      <rPr>
        <sz val="10"/>
        <rFont val="맑은 고딕"/>
        <family val="3"/>
        <charset val="129"/>
      </rPr>
      <t>)</t>
    </r>
  </si>
  <si>
    <t>산타모니카호는 우리 임대료수입 계정 대상이 아님</t>
  </si>
  <si>
    <r>
      <rPr>
        <sz val="10"/>
        <rFont val="Noto Sans CJK SC"/>
        <family val="2"/>
      </rPr>
      <t xml:space="preserve">대조 해상직 인원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선원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승무원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</si>
  <si>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해상직 비율 </t>
    </r>
    <r>
      <rPr>
        <sz val="10"/>
        <rFont val="맑은 고딕"/>
        <family val="3"/>
        <charset val="129"/>
      </rPr>
      <t>(hR)</t>
    </r>
  </si>
  <si>
    <r>
      <rPr>
        <sz val="10"/>
        <rFont val="Noto Sans CJK SC"/>
        <family val="2"/>
      </rPr>
      <t xml:space="preserve">대조 해상직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 xml:space="preserve">참조 해상직 → 운항 인건비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과목에 곱함</t>
    </r>
  </si>
  <si>
    <r>
      <rPr>
        <sz val="10"/>
        <rFont val="Noto Sans CJK SC"/>
        <family val="2"/>
      </rPr>
      <t xml:space="preserve">지상직 비율 </t>
    </r>
    <r>
      <rPr>
        <sz val="10"/>
        <rFont val="맑은 고딕"/>
        <family val="3"/>
        <charset val="129"/>
      </rPr>
      <t>(sR)</t>
    </r>
  </si>
  <si>
    <r>
      <rPr>
        <sz val="10"/>
        <rFont val="Noto Sans CJK SC"/>
        <family val="2"/>
      </rPr>
      <t xml:space="preserve">대조 지상직 </t>
    </r>
    <r>
      <rPr>
        <sz val="10"/>
        <rFont val="맑은 고딕"/>
        <family val="3"/>
        <charset val="129"/>
      </rPr>
      <t>÷ 30</t>
    </r>
    <r>
      <rPr>
        <sz val="10"/>
        <rFont val="Noto Sans CJK SC"/>
        <family val="2"/>
      </rPr>
      <t xml:space="preserve">명 → 판관 급여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과목에 곱함</t>
    </r>
  </si>
  <si>
    <t>항차 비율</t>
  </si>
  <si>
    <r>
      <rPr>
        <sz val="10"/>
        <rFont val="Noto Sans CJK SC"/>
        <family val="2"/>
      </rPr>
      <t xml:space="preserve">대조 항차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참조 항차 → 운항기타 세목에 곱함</t>
    </r>
  </si>
  <si>
    <r>
      <rPr>
        <sz val="10"/>
        <rFont val="Noto Sans CJK SC"/>
        <family val="2"/>
      </rPr>
      <t xml:space="preserve">연료 원화 단가 — 기준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/MT)</t>
    </r>
  </si>
  <si>
    <r>
      <rPr>
        <sz val="10"/>
        <rFont val="Noto Sans CJK SC"/>
        <family val="2"/>
      </rPr>
      <t xml:space="preserve">연료 원화 단가 — 현재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/MT)</t>
    </r>
  </si>
  <si>
    <t>연료비 증가 배율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</si>
  <si>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현재 </t>
    </r>
    <r>
      <rPr>
        <sz val="10"/>
        <rFont val="맑은 고딕"/>
        <family val="3"/>
        <charset val="129"/>
      </rPr>
      <t xml:space="preserve">$/MT × </t>
    </r>
    <r>
      <rPr>
        <sz val="10"/>
        <rFont val="Noto Sans CJK SC"/>
        <family val="2"/>
      </rPr>
      <t>환율</t>
    </r>
    <r>
      <rPr>
        <sz val="10"/>
        <rFont val="맑은 고딕"/>
        <family val="3"/>
        <charset val="129"/>
      </rPr>
      <t>) ÷ (</t>
    </r>
    <r>
      <rPr>
        <sz val="10"/>
        <rFont val="Noto Sans CJK SC"/>
        <family val="2"/>
      </rPr>
      <t xml:space="preserve">기준 </t>
    </r>
    <r>
      <rPr>
        <sz val="10"/>
        <rFont val="맑은 고딕"/>
        <family val="3"/>
        <charset val="129"/>
      </rPr>
      <t xml:space="preserve">$/MT × </t>
    </r>
    <r>
      <rPr>
        <sz val="10"/>
        <rFont val="Noto Sans CJK SC"/>
        <family val="2"/>
      </rPr>
      <t>환율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연료비 세목에만</t>
    </r>
  </si>
  <si>
    <r>
      <rPr>
        <sz val="10"/>
        <rFont val="Noto Sans CJK SC"/>
        <family val="2"/>
      </rPr>
      <t xml:space="preserve">좌석 — 이코노미 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운임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구성비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</si>
  <si>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좌석 — 비즈니스 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운임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구성비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</si>
  <si>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좌석 — 퍼스트 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운임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배율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구성비</t>
    </r>
    <r>
      <rPr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</si>
  <si>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실현 단가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 xml:space="preserve">가중평균 </t>
    </r>
    <r>
      <rPr>
        <b/>
        <sz val="10"/>
        <rFont val="맑은 고딕"/>
        <family val="3"/>
        <charset val="129"/>
      </rPr>
      <t xml:space="preserve">+ </t>
    </r>
    <r>
      <rPr>
        <b/>
        <sz val="10"/>
        <rFont val="Noto Sans CJK SC"/>
        <family val="2"/>
      </rPr>
      <t>유류할증료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</si>
  <si>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항차당 인원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승선율</t>
    </r>
    <r>
      <rPr>
        <sz val="10"/>
        <rFont val="맑은 고딕"/>
        <family val="3"/>
        <charset val="129"/>
      </rPr>
      <t>)</t>
    </r>
  </si>
  <si>
    <t>연간 승객수</t>
  </si>
  <si>
    <r>
      <rPr>
        <sz val="10"/>
        <rFont val="Noto Sans CJK SC"/>
        <family val="2"/>
      </rPr>
      <t xml:space="preserve">승선율 → 항차당 인원 → 연간 승객수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직접 입력이면 입력값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</si>
  <si>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승선율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결과</t>
    </r>
    <r>
      <rPr>
        <sz val="10"/>
        <rFont val="맑은 고딕"/>
        <family val="3"/>
        <charset val="129"/>
      </rPr>
      <t>)</t>
    </r>
  </si>
  <si>
    <t>적재 케이스 항차당 최대 차량 수입</t>
  </si>
  <si>
    <r>
      <rPr>
        <sz val="10"/>
        <rFont val="Noto Sans CJK SC"/>
        <family val="2"/>
      </rPr>
      <t>운임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선박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번 표</t>
    </r>
  </si>
  <si>
    <t>선적율 적용 항차당 수입</t>
  </si>
  <si>
    <t>연간 화물수입</t>
  </si>
  <si>
    <r>
      <rPr>
        <sz val="10"/>
        <rFont val="Noto Sans CJK SC"/>
        <family val="2"/>
      </rPr>
      <t xml:space="preserve">케이스 수입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선적율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대조 항차 </t>
    </r>
    <r>
      <rPr>
        <sz val="10"/>
        <rFont val="맑은 고딕"/>
        <family val="3"/>
        <charset val="129"/>
      </rPr>
      <t xml:space="preserve">(+α: </t>
    </r>
    <r>
      <rPr>
        <sz val="10"/>
        <rFont val="Noto Sans CJK SC"/>
        <family val="2"/>
      </rPr>
      <t>운임 미산정 항목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</si>
  <si>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선가 </t>
    </r>
    <r>
      <rPr>
        <sz val="10"/>
        <rFont val="맑은 고딕"/>
        <family val="3"/>
        <charset val="129"/>
      </rPr>
      <t xml:space="preserve">× (1 − </t>
    </r>
    <r>
      <rPr>
        <sz val="10"/>
        <rFont val="Noto Sans CJK SC"/>
        <family val="2"/>
      </rPr>
      <t>잔존가치</t>
    </r>
    <r>
      <rPr>
        <sz val="10"/>
        <rFont val="맑은 고딕"/>
        <family val="3"/>
        <charset val="129"/>
      </rPr>
      <t xml:space="preserve">) ÷ </t>
    </r>
    <r>
      <rPr>
        <sz val="10"/>
        <rFont val="Noto Sans CJK SC"/>
        <family val="2"/>
      </rPr>
      <t xml:space="preserve">내용연수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정액법</t>
    </r>
    <r>
      <rPr>
        <sz val="10"/>
        <rFont val="맑은 고딕"/>
        <family val="3"/>
        <charset val="129"/>
      </rPr>
      <t xml:space="preserve">) · </t>
    </r>
    <r>
      <rPr>
        <sz val="10"/>
        <rFont val="Noto Sans CJK SC"/>
        <family val="2"/>
      </rPr>
      <t>선가가 비면 감사보고서 감가상각비</t>
    </r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</si>
  <si>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과목</t>
    </r>
  </si>
  <si>
    <t>지급수수료 배율</t>
  </si>
  <si>
    <r>
      <rPr>
        <sz val="10"/>
        <rFont val="Noto Sans CJK SC"/>
        <family val="2"/>
      </rPr>
      <t xml:space="preserve">원가 구성표의 지급수수료 성격을 따른다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변동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대조 승객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실적 역산 승객</t>
    </r>
    <r>
      <rPr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</si>
  <si>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기준금액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감사보고서 비례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</si>
  <si>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>비율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정규화</t>
    </r>
    <r>
      <rPr>
        <b/>
        <sz val="10"/>
        <rFont val="맑은 고딕"/>
        <family val="3"/>
        <charset val="129"/>
      </rPr>
      <t>)</t>
    </r>
  </si>
  <si>
    <t>항차비율</t>
  </si>
  <si>
    <t>연료할증</t>
  </si>
  <si>
    <t>적용금액</t>
  </si>
  <si>
    <r>
      <rPr>
        <b/>
        <sz val="10"/>
        <rFont val="Noto Sans CJK SC"/>
        <family val="2"/>
      </rPr>
      <t xml:space="preserve">합계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운항기타</t>
    </r>
    <r>
      <rPr>
        <b/>
        <sz val="10"/>
        <rFont val="맑은 고딕"/>
        <family val="3"/>
        <charset val="129"/>
      </rPr>
      <t>)</t>
    </r>
  </si>
  <si>
    <t>└ 유가 상승으로 늘어난 몫</t>
  </si>
  <si>
    <r>
      <rPr>
        <b/>
        <sz val="11"/>
        <rFont val="맑은 고딕"/>
        <family val="3"/>
        <charset val="129"/>
      </rPr>
      <t xml:space="preserve">3. </t>
    </r>
    <r>
      <rPr>
        <b/>
        <sz val="11"/>
        <rFont val="Noto Sans CJK SC"/>
        <family val="2"/>
      </rPr>
      <t xml:space="preserve">손익계산서 — 대조 선박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단일연도</t>
    </r>
    <r>
      <rPr>
        <b/>
        <sz val="11"/>
        <rFont val="맑은 고딕"/>
        <family val="3"/>
        <charset val="129"/>
      </rPr>
      <t>)</t>
    </r>
  </si>
  <si>
    <t>산출 근거</t>
  </si>
  <si>
    <r>
      <rPr>
        <b/>
        <sz val="10"/>
        <rFont val="맑은 고딕"/>
        <family val="3"/>
        <charset val="129"/>
      </rPr>
      <t xml:space="preserve">Ⅰ. </t>
    </r>
    <r>
      <rPr>
        <b/>
        <sz val="10"/>
        <rFont val="Noto Sans CJK SC"/>
        <family val="2"/>
      </rPr>
      <t>매출액</t>
    </r>
  </si>
  <si>
    <r>
      <rPr>
        <sz val="10"/>
        <rFont val="Noto Sans CJK SC"/>
        <family val="2"/>
      </rPr>
      <t xml:space="preserve">연간 승객수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실현 단가</t>
    </r>
  </si>
  <si>
    <r>
      <rPr>
        <sz val="10"/>
        <rFont val="Noto Sans CJK SC"/>
        <family val="2"/>
      </rPr>
      <t xml:space="preserve">화물수입 </t>
    </r>
    <r>
      <rPr>
        <sz val="10"/>
        <rFont val="맑은 고딕"/>
        <family val="3"/>
        <charset val="129"/>
      </rPr>
      <t>(+α)</t>
    </r>
  </si>
  <si>
    <r>
      <rPr>
        <sz val="10"/>
        <rFont val="Noto Sans CJK SC"/>
        <family val="2"/>
      </rPr>
      <t xml:space="preserve">케이스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선적율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항차 </t>
    </r>
    <r>
      <rPr>
        <sz val="10"/>
        <rFont val="맑은 고딕"/>
        <family val="3"/>
        <charset val="129"/>
      </rPr>
      <t xml:space="preserve">· +α = </t>
    </r>
    <r>
      <rPr>
        <sz val="10"/>
        <rFont val="Noto Sans CJK SC"/>
        <family val="2"/>
      </rPr>
      <t>운임 미산정 항목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캐러밴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일반화물 등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의 이익 여분</t>
    </r>
  </si>
  <si>
    <t>산타모니카호는 제외</t>
  </si>
  <si>
    <r>
      <rPr>
        <b/>
        <sz val="10"/>
        <rFont val="맑은 고딕"/>
        <family val="3"/>
        <charset val="129"/>
      </rPr>
      <t xml:space="preserve">Ⅱ. </t>
    </r>
    <r>
      <rPr>
        <b/>
        <sz val="10"/>
        <rFont val="Noto Sans CJK SC"/>
        <family val="2"/>
      </rPr>
      <t xml:space="preserve">운항원가 </t>
    </r>
    <r>
      <rPr>
        <b/>
        <sz val="10"/>
        <rFont val="맑은 고딕"/>
        <family val="3"/>
        <charset val="129"/>
      </rPr>
      <t>(−)</t>
    </r>
  </si>
  <si>
    <r>
      <rPr>
        <sz val="10"/>
        <rFont val="Noto Sans CJK SC"/>
        <family val="2"/>
      </rPr>
      <t xml:space="preserve">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해상직원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</si>
  <si>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감사보고서 주석</t>
    </r>
    <r>
      <rPr>
        <sz val="10"/>
        <rFont val="맑은 고딕"/>
        <family val="3"/>
        <charset val="129"/>
      </rPr>
      <t>15 × hR</t>
    </r>
  </si>
  <si>
    <r>
      <rPr>
        <sz val="10"/>
        <rFont val="Noto Sans CJK SC"/>
        <family val="2"/>
      </rPr>
      <t xml:space="preserve">퇴직급여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해상직원</t>
    </r>
    <r>
      <rPr>
        <sz val="10"/>
        <rFont val="맑은 고딕"/>
        <family val="3"/>
        <charset val="129"/>
      </rPr>
      <t>)</t>
    </r>
  </si>
  <si>
    <t>× hR</t>
  </si>
  <si>
    <r>
      <rPr>
        <sz val="10"/>
        <rFont val="Noto Sans CJK SC"/>
        <family val="2"/>
      </rPr>
      <t xml:space="preserve">복리후생비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해상직원</t>
    </r>
    <r>
      <rPr>
        <sz val="10"/>
        <rFont val="맑은 고딕"/>
        <family val="3"/>
        <charset val="129"/>
      </rPr>
      <t>)</t>
    </r>
  </si>
  <si>
    <t>선가 정액법</t>
  </si>
  <si>
    <t>감사보고서 그대로</t>
  </si>
  <si>
    <r>
      <rPr>
        <sz val="10"/>
        <rFont val="Noto Sans CJK SC"/>
        <family val="2"/>
      </rPr>
      <t xml:space="preserve">세목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항차비율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연료비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증가 배율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</si>
  <si>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세목 — 운항기타에 포함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중복 합산 아님</t>
    </r>
    <r>
      <rPr>
        <sz val="10"/>
        <rFont val="맑은 고딕"/>
        <family val="3"/>
        <charset val="129"/>
      </rPr>
      <t>]</t>
    </r>
  </si>
  <si>
    <r>
      <rPr>
        <b/>
        <sz val="10"/>
        <rFont val="맑은 고딕"/>
        <family val="3"/>
        <charset val="129"/>
      </rPr>
      <t xml:space="preserve">Ⅲ. </t>
    </r>
    <r>
      <rPr>
        <b/>
        <sz val="10"/>
        <rFont val="Noto Sans CJK SC"/>
        <family val="2"/>
      </rPr>
      <t>매출총이익</t>
    </r>
  </si>
  <si>
    <r>
      <rPr>
        <b/>
        <sz val="10"/>
        <rFont val="맑은 고딕"/>
        <family val="3"/>
        <charset val="129"/>
      </rPr>
      <t xml:space="preserve">Ⅳ. </t>
    </r>
    <r>
      <rPr>
        <b/>
        <sz val="10"/>
        <rFont val="Noto Sans CJK SC"/>
        <family val="2"/>
      </rPr>
      <t>판매비와관리비</t>
    </r>
  </si>
  <si>
    <r>
      <rPr>
        <sz val="10"/>
        <rFont val="Noto Sans CJK SC"/>
        <family val="2"/>
      </rPr>
      <t xml:space="preserve">직원급여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육상직원</t>
    </r>
    <r>
      <rPr>
        <sz val="10"/>
        <rFont val="맑은 고딕"/>
        <family val="3"/>
        <charset val="129"/>
      </rPr>
      <t>)</t>
    </r>
  </si>
  <si>
    <t>× sR</t>
  </si>
  <si>
    <r>
      <rPr>
        <sz val="10"/>
        <rFont val="Noto Sans CJK SC"/>
        <family val="2"/>
      </rPr>
      <t xml:space="preserve">퇴직급여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육상직원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</si>
  <si>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복리후생비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육상직원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</si>
  <si>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지급수수료 배율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성격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변동이면 승객 연동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</si>
  <si>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그 외 </t>
    </r>
    <r>
      <rPr>
        <sz val="10"/>
        <rFont val="맑은 고딕"/>
        <family val="3"/>
        <charset val="129"/>
      </rPr>
      <t>(14</t>
    </r>
    <r>
      <rPr>
        <sz val="10"/>
        <rFont val="Noto Sans CJK SC"/>
        <family val="2"/>
      </rPr>
      <t>과목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</si>
  <si>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세금과공과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지급수수료 제외 — 감사보고서 그대로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</si>
  <si>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여비교통비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</si>
  <si>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접대비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</si>
  <si>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통신비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</si>
  <si>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수도광열비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</si>
  <si>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지급임차료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</si>
  <si>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수선비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</si>
  <si>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차량유지비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</si>
  <si>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운반비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</si>
  <si>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교육훈련비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</si>
  <si>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도서인쇄비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</si>
  <si>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소모품비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</si>
  <si>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광고선전비</t>
    </r>
  </si>
  <si>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잡비</t>
    </r>
  </si>
  <si>
    <r>
      <rPr>
        <b/>
        <sz val="10"/>
        <rFont val="맑은 고딕"/>
        <family val="3"/>
        <charset val="129"/>
      </rPr>
      <t xml:space="preserve">Ⅴ. </t>
    </r>
    <r>
      <rPr>
        <b/>
        <sz val="10"/>
        <rFont val="Noto Sans CJK SC"/>
        <family val="2"/>
      </rPr>
      <t>영업이익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</si>
  <si>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맑은 고딕"/>
        <family val="3"/>
        <charset val="129"/>
      </rPr>
      <t xml:space="preserve">  EBITDA (</t>
    </r>
    <r>
      <rPr>
        <b/>
        <sz val="10"/>
        <rFont val="Noto Sans CJK SC"/>
        <family val="2"/>
      </rPr>
      <t xml:space="preserve">영업이익 </t>
    </r>
    <r>
      <rPr>
        <b/>
        <sz val="10"/>
        <rFont val="맑은 고딕"/>
        <family val="3"/>
        <charset val="129"/>
      </rPr>
      <t xml:space="preserve">+ </t>
    </r>
    <r>
      <rPr>
        <b/>
        <sz val="10"/>
        <rFont val="Noto Sans CJK SC"/>
        <family val="2"/>
      </rPr>
      <t>감가상각비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</si>
  <si>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맑은 고딕"/>
        <family val="3"/>
        <charset val="129"/>
      </rPr>
      <t xml:space="preserve">Ⅵ. </t>
    </r>
    <r>
      <rPr>
        <b/>
        <sz val="10"/>
        <rFont val="Noto Sans CJK SC"/>
        <family val="2"/>
      </rPr>
      <t xml:space="preserve">영업외비용 </t>
    </r>
    <r>
      <rPr>
        <b/>
        <sz val="10"/>
        <rFont val="맑은 고딕"/>
        <family val="3"/>
        <charset val="129"/>
      </rPr>
      <t>(−)</t>
    </r>
  </si>
  <si>
    <t>이자비용</t>
  </si>
  <si>
    <r>
      <rPr>
        <sz val="10"/>
        <rFont val="Noto Sans CJK SC"/>
        <family val="2"/>
      </rPr>
      <t xml:space="preserve">차입금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이자율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첫해</t>
    </r>
    <r>
      <rPr>
        <sz val="10"/>
        <rFont val="맑은 고딕"/>
        <family val="3"/>
        <charset val="129"/>
      </rPr>
      <t>) — 10</t>
    </r>
    <r>
      <rPr>
        <sz val="10"/>
        <rFont val="Noto Sans CJK SC"/>
        <family val="2"/>
      </rPr>
      <t xml:space="preserve">개년 표에서는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선체이자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로 운항원가에 들어간다</t>
    </r>
  </si>
  <si>
    <r>
      <rPr>
        <b/>
        <sz val="10"/>
        <rFont val="맑은 고딕"/>
        <family val="3"/>
        <charset val="129"/>
      </rPr>
      <t xml:space="preserve">Ⅶ. </t>
    </r>
    <r>
      <rPr>
        <b/>
        <sz val="10"/>
        <rFont val="Noto Sans CJK SC"/>
        <family val="2"/>
      </rPr>
      <t>법인세차감전순이익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손실</t>
    </r>
    <r>
      <rPr>
        <b/>
        <sz val="10"/>
        <rFont val="맑은 고딕"/>
        <family val="3"/>
        <charset val="129"/>
      </rPr>
      <t>)</t>
    </r>
  </si>
  <si>
    <t>〔수지〕 현금 기준</t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</si>
  <si>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여기부터 손익이 아니라 수지</t>
    </r>
  </si>
  <si>
    <r>
      <rPr>
        <sz val="10"/>
        <rFont val="맑은 고딕"/>
        <family val="3"/>
        <charset val="129"/>
      </rPr>
      <t xml:space="preserve">(−) </t>
    </r>
    <r>
      <rPr>
        <sz val="10"/>
        <rFont val="Noto Sans CJK SC"/>
        <family val="2"/>
      </rPr>
      <t>차입금 원금상환</t>
    </r>
  </si>
  <si>
    <t>첫해 원금 — 비용은 아니지만 통장에서 빠진다</t>
  </si>
  <si>
    <t>＝ 순현금흐름</t>
  </si>
  <si>
    <r>
      <rPr>
        <sz val="10"/>
        <rFont val="맑은 고딕"/>
        <family val="3"/>
        <charset val="129"/>
      </rPr>
      <t xml:space="preserve">EBITDA </t>
    </r>
    <r>
      <rPr>
        <sz val="10"/>
        <rFont val="Noto Sans CJK SC"/>
        <family val="2"/>
      </rPr>
      <t>마진</t>
    </r>
  </si>
  <si>
    <r>
      <rPr>
        <b/>
        <sz val="11"/>
        <rFont val="맑은 고딕"/>
        <family val="3"/>
        <charset val="129"/>
      </rPr>
      <t xml:space="preserve">4. </t>
    </r>
    <r>
      <rPr>
        <b/>
        <sz val="11"/>
        <rFont val="Noto Sans CJK SC"/>
        <family val="2"/>
      </rPr>
      <t xml:space="preserve">차입금 원리금과 상환여력 </t>
    </r>
    <r>
      <rPr>
        <b/>
        <sz val="11"/>
        <rFont val="맑은 고딕"/>
        <family val="3"/>
        <charset val="129"/>
      </rPr>
      <t>(DSCR)</t>
    </r>
  </si>
  <si>
    <t>조건</t>
  </si>
  <si>
    <t>첫해 원리금</t>
  </si>
  <si>
    <r>
      <rPr>
        <sz val="10"/>
        <rFont val="Noto Sans CJK SC"/>
        <family val="2"/>
      </rPr>
      <t xml:space="preserve">원금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이자</t>
    </r>
  </si>
  <si>
    <t>총 상환</t>
  </si>
  <si>
    <r>
      <rPr>
        <sz val="10"/>
        <rFont val="맑은 고딕"/>
        <family val="3"/>
        <charset val="129"/>
      </rPr>
      <t xml:space="preserve">1.0 </t>
    </r>
    <r>
      <rPr>
        <sz val="10"/>
        <rFont val="Noto Sans CJK SC"/>
        <family val="2"/>
      </rPr>
      <t xml:space="preserve">미만이면 그해 빚을 못 갚는다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금융권은 보통 </t>
    </r>
    <r>
      <rPr>
        <sz val="10"/>
        <rFont val="맑은 고딕"/>
        <family val="3"/>
        <charset val="129"/>
      </rPr>
      <t xml:space="preserve">1.2~1.3 </t>
    </r>
    <r>
      <rPr>
        <sz val="10"/>
        <rFont val="Noto Sans CJK SC"/>
        <family val="2"/>
      </rPr>
      <t>이상 요구</t>
    </r>
  </si>
  <si>
    <t>판정</t>
  </si>
  <si>
    <t>금액 규칙</t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</si>
  <si>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>× hR</t>
    </r>
  </si>
  <si>
    <r>
      <rPr>
        <sz val="10"/>
        <rFont val="Noto Sans CJK SC"/>
        <family val="2"/>
      </rPr>
      <t xml:space="preserve">세목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 xml:space="preserve">항차비율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연료 증가</t>
    </r>
  </si>
  <si>
    <r>
      <rPr>
        <sz val="10"/>
        <rFont val="Noto Sans CJK SC"/>
        <family val="2"/>
      </rPr>
      <t xml:space="preserve">대조 지상직 </t>
    </r>
    <r>
      <rPr>
        <sz val="10"/>
        <rFont val="맑은 고딕"/>
        <family val="3"/>
        <charset val="129"/>
      </rPr>
      <t>× 1</t>
    </r>
    <r>
      <rPr>
        <sz val="10"/>
        <rFont val="Noto Sans CJK SC"/>
        <family val="2"/>
      </rPr>
      <t>인당</t>
    </r>
  </si>
  <si>
    <r>
      <rPr>
        <sz val="10"/>
        <rFont val="Noto Sans CJK SC"/>
        <family val="2"/>
      </rPr>
      <t xml:space="preserve">감사보고서 금액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변동이면 승객당 단가는 기준 </t>
    </r>
    <r>
      <rPr>
        <sz val="10"/>
        <rFont val="맑은 고딕"/>
        <family val="3"/>
        <charset val="129"/>
      </rPr>
      <t xml:space="preserve">v </t>
    </r>
    <r>
      <rPr>
        <sz val="10"/>
        <rFont val="Noto Sans CJK SC"/>
        <family val="2"/>
      </rPr>
      <t>사용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</si>
  <si>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승객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 증가분 </t>
    </r>
    <r>
      <rPr>
        <sz val="10"/>
        <rFont val="맑은 고딕"/>
        <family val="3"/>
        <charset val="129"/>
      </rPr>
      <t xml:space="preserve">(v) — </t>
    </r>
    <r>
      <rPr>
        <sz val="10"/>
        <rFont val="Noto Sans CJK SC"/>
        <family val="2"/>
      </rPr>
      <t>기준 자료와 같은 값</t>
    </r>
  </si>
  <si>
    <t>차입금 상환 스케줄 — 대조 선박</t>
  </si>
  <si>
    <r>
      <rPr>
        <sz val="10"/>
        <rFont val="Noto Sans CJK SC"/>
        <family val="2"/>
      </rPr>
      <t>이자비용은 손익계산서 항목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원금 상환은 현금유출</t>
    </r>
    <r>
      <rPr>
        <sz val="10"/>
        <rFont val="맑은 고딕"/>
        <family val="3"/>
        <charset val="129"/>
      </rPr>
      <t>. 10</t>
    </r>
    <r>
      <rPr>
        <sz val="10"/>
        <rFont val="Noto Sans CJK SC"/>
        <family val="2"/>
      </rPr>
      <t xml:space="preserve">개년 예상의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선체이자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는 이 표의 연도별 이자를 그대로 쓴다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단위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원</t>
    </r>
  </si>
  <si>
    <r>
      <rPr>
        <sz val="10"/>
        <rFont val="Noto Sans CJK SC"/>
        <family val="2"/>
      </rPr>
      <t xml:space="preserve">차입금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</si>
  <si>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설정값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백만원</t>
    </r>
    <r>
      <rPr>
        <sz val="10"/>
        <rFont val="맑은 고딕"/>
        <family val="3"/>
        <charset val="129"/>
      </rPr>
      <t>) × 1,000,000</t>
    </r>
  </si>
  <si>
    <r>
      <rPr>
        <sz val="10"/>
        <rFont val="Noto Sans CJK SC"/>
        <family val="2"/>
      </rPr>
      <t xml:space="preserve">상환기간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</si>
  <si>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거치기간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년</t>
    </r>
    <r>
      <rPr>
        <sz val="10"/>
        <rFont val="맑은 고딕"/>
        <family val="3"/>
        <charset val="129"/>
      </rPr>
      <t>)</t>
    </r>
  </si>
  <si>
    <t>원금 상환 햇수</t>
  </si>
  <si>
    <t>상환기간 − 거치기간</t>
  </si>
  <si>
    <r>
      <rPr>
        <sz val="10"/>
        <rFont val="Noto Sans CJK SC"/>
        <family val="2"/>
      </rPr>
      <t xml:space="preserve">원리금균등 연 상환액 </t>
    </r>
    <r>
      <rPr>
        <sz val="10"/>
        <rFont val="맑은 고딕"/>
        <family val="3"/>
        <charset val="129"/>
      </rPr>
      <t>(PMT)</t>
    </r>
  </si>
  <si>
    <t>P·r / (1 − (1+r)^−n)</t>
  </si>
  <si>
    <t>첫해 이자</t>
  </si>
  <si>
    <r>
      <rPr>
        <sz val="10"/>
        <rFont val="Noto Sans CJK SC"/>
        <family val="2"/>
      </rPr>
      <t>손익계산서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단일연도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영업외비용 이자비용</t>
    </r>
  </si>
  <si>
    <t>첫해 원금상환</t>
  </si>
  <si>
    <t>총 상환액</t>
  </si>
  <si>
    <t>총 이자</t>
  </si>
  <si>
    <t>연차</t>
  </si>
  <si>
    <r>
      <rPr>
        <b/>
        <sz val="10"/>
        <rFont val="맑은 고딕"/>
        <family val="3"/>
        <charset val="129"/>
      </rPr>
      <t>10</t>
    </r>
    <r>
      <rPr>
        <b/>
        <sz val="10"/>
        <rFont val="Noto Sans CJK SC"/>
        <family val="2"/>
      </rPr>
      <t>개년 표 열</t>
    </r>
  </si>
  <si>
    <t>기초 잔액</t>
  </si>
  <si>
    <t>이자</t>
  </si>
  <si>
    <t>원금 상환</t>
  </si>
  <si>
    <t>원리금</t>
  </si>
  <si>
    <t>기말 잔액</t>
  </si>
  <si>
    <t>y+0</t>
  </si>
  <si>
    <t>y+1</t>
  </si>
  <si>
    <t>y+2</t>
  </si>
  <si>
    <t>y+3</t>
  </si>
  <si>
    <t>y+4</t>
  </si>
  <si>
    <t>y+5</t>
  </si>
  <si>
    <t>y+6</t>
  </si>
  <si>
    <t>y+7</t>
  </si>
  <si>
    <t>y+8</t>
  </si>
  <si>
    <t>y+9</t>
  </si>
  <si>
    <t>y+10</t>
  </si>
  <si>
    <r>
      <rPr>
        <sz val="10"/>
        <rFont val="Noto Sans CJK SC"/>
        <family val="2"/>
      </rPr>
      <t>거치기간에는 이자만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이후 남은 해에 걸쳐 원금 상환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만기일시는 만기 연도에 잔액 일시 상환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이자율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 xml:space="preserve">이면 이자 </t>
    </r>
    <r>
      <rPr>
        <sz val="10"/>
        <rFont val="맑은 고딕"/>
        <family val="3"/>
        <charset val="129"/>
      </rPr>
      <t>0.</t>
    </r>
  </si>
  <si>
    <r>
      <rPr>
        <b/>
        <sz val="16"/>
        <rFont val="맑은 고딕"/>
        <family val="3"/>
        <charset val="129"/>
      </rPr>
      <t>10</t>
    </r>
    <r>
      <rPr>
        <b/>
        <sz val="16"/>
        <rFont val="Noto Sans CJK SC"/>
        <family val="2"/>
      </rPr>
      <t xml:space="preserve">개년 예상 손익계산서 — 대조 선박 </t>
    </r>
    <r>
      <rPr>
        <b/>
        <sz val="16"/>
        <rFont val="맑은 고딕"/>
        <family val="3"/>
        <charset val="129"/>
      </rPr>
      <t>(</t>
    </r>
    <r>
      <rPr>
        <b/>
        <sz val="16"/>
        <rFont val="Noto Sans CJK SC"/>
        <family val="2"/>
      </rPr>
      <t>단위</t>
    </r>
    <r>
      <rPr>
        <b/>
        <sz val="16"/>
        <rFont val="맑은 고딕"/>
        <family val="3"/>
        <charset val="129"/>
      </rPr>
      <t xml:space="preserve">: </t>
    </r>
    <r>
      <rPr>
        <b/>
        <sz val="16"/>
        <rFont val="Noto Sans CJK SC"/>
        <family val="2"/>
      </rPr>
      <t>백만원</t>
    </r>
    <r>
      <rPr>
        <b/>
        <sz val="16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</si>
  <si>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y+0 = </t>
    </r>
    <r>
      <rPr>
        <sz val="10"/>
        <rFont val="Noto Sans CJK SC"/>
        <family val="2"/>
      </rPr>
      <t xml:space="preserve">대조 선박 단일연도 값 </t>
    </r>
    <r>
      <rPr>
        <sz val="10"/>
        <rFont val="맑은 고딕"/>
        <family val="3"/>
        <charset val="129"/>
      </rPr>
      <t xml:space="preserve">· y+n = y+0 × (1 + </t>
    </r>
    <r>
      <rPr>
        <sz val="10"/>
        <rFont val="Noto Sans CJK SC"/>
        <family val="2"/>
      </rPr>
      <t>계정별 성장률</t>
    </r>
    <r>
      <rPr>
        <sz val="10"/>
        <rFont val="맑은 고딕"/>
        <family val="3"/>
        <charset val="129"/>
      </rPr>
      <t xml:space="preserve">)^n · </t>
    </r>
    <r>
      <rPr>
        <sz val="10"/>
        <rFont val="Noto Sans CJK SC"/>
        <family val="2"/>
      </rPr>
      <t xml:space="preserve">선체이자는 상환 스케줄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집계행은 매년 재합산</t>
    </r>
  </si>
  <si>
    <r>
      <rPr>
        <b/>
        <sz val="10"/>
        <rFont val="맑은 고딕"/>
        <family val="3"/>
        <charset val="129"/>
      </rPr>
      <t>58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</si>
  <si>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59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</si>
  <si>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60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</si>
  <si>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61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</si>
  <si>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62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</si>
  <si>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63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</si>
  <si>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64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</si>
  <si>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65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</si>
  <si>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66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</si>
  <si>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67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</si>
  <si>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>68</t>
    </r>
    <r>
      <rPr>
        <b/>
        <sz val="10"/>
        <rFont val="Noto Sans CJK SC"/>
        <family val="2"/>
      </rPr>
      <t>기</t>
    </r>
  </si>
  <si>
    <r>
      <rPr>
        <b/>
        <sz val="10"/>
        <rFont val="맑은 고딕"/>
        <family val="3"/>
        <charset val="129"/>
      </rPr>
      <t xml:space="preserve">y+1~y+10 </t>
    </r>
    <r>
      <rPr>
        <b/>
        <sz val="10"/>
        <rFont val="Noto Sans CJK SC"/>
        <family val="2"/>
      </rPr>
      <t>평균</t>
    </r>
  </si>
  <si>
    <r>
      <rPr>
        <sz val="10"/>
        <rFont val="맑은 고딕"/>
        <family val="3"/>
        <charset val="129"/>
      </rPr>
      <t>n (</t>
    </r>
    <r>
      <rPr>
        <sz val="10"/>
        <rFont val="Noto Sans CJK SC"/>
        <family val="2"/>
      </rPr>
      <t>경과 연수</t>
    </r>
    <r>
      <rPr>
        <sz val="10"/>
        <rFont val="맑은 고딕"/>
        <family val="3"/>
        <charset val="129"/>
      </rPr>
      <t>)</t>
    </r>
  </si>
  <si>
    <t>회계연도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</si>
  <si>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</si>
  <si>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</si>
  <si>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</si>
  <si>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</si>
  <si>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</si>
  <si>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</si>
  <si>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</si>
  <si>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</si>
  <si>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</si>
  <si>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</si>
  <si>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</si>
  <si>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r>
      <rPr>
        <sz val="10"/>
        <rFont val="맑은 고딕"/>
        <family val="3"/>
        <charset val="129"/>
      </rPr>
      <t xml:space="preserve">+α: </t>
    </r>
    <r>
      <rPr>
        <sz val="10"/>
        <rFont val="Noto Sans CJK SC"/>
        <family val="2"/>
      </rPr>
      <t>운임 미산정 항목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캐러밴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일반화물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의 이익 여분</t>
    </r>
  </si>
  <si>
    <r>
      <rPr>
        <sz val="10"/>
        <rFont val="Noto Sans CJK SC"/>
        <family val="2"/>
      </rPr>
      <t xml:space="preserve">면세수입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감안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</si>
  <si>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대저페리는 내항선이라 현재 없음 — 외항선이면 면세품 판매 수입 기대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잠재 매출로 감안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미반영</t>
    </r>
    <r>
      <rPr>
        <sz val="10"/>
        <rFont val="맑은 고딕"/>
        <family val="3"/>
        <charset val="129"/>
      </rPr>
      <t>)</t>
    </r>
  </si>
  <si>
    <t>운항기타</t>
  </si>
  <si>
    <r>
      <rPr>
        <sz val="10"/>
        <rFont val="Noto Sans CJK SC"/>
        <family val="2"/>
      </rPr>
      <t xml:space="preserve">아래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개 세목의 합</t>
    </r>
  </si>
  <si>
    <r>
      <rPr>
        <sz val="10"/>
        <rFont val="맑은 고딕"/>
        <family val="3"/>
        <charset val="129"/>
      </rPr>
      <t>y+0</t>
    </r>
    <r>
      <rPr>
        <sz val="10"/>
        <rFont val="Noto Sans CJK SC"/>
        <family val="2"/>
      </rPr>
      <t>에 현재 유가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환율 배율이 이미 반영됨 — 성장률은 그 위에 매년 복리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레벨 </t>
    </r>
    <r>
      <rPr>
        <sz val="10"/>
        <rFont val="맑은 고딕"/>
        <family val="3"/>
        <charset val="129"/>
      </rPr>
      <t xml:space="preserve">shift vs </t>
    </r>
    <r>
      <rPr>
        <sz val="10"/>
        <rFont val="Noto Sans CJK SC"/>
        <family val="2"/>
      </rPr>
      <t>연간 변화율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이중 반영 아님</t>
    </r>
    <r>
      <rPr>
        <sz val="10"/>
        <rFont val="맑은 고딕"/>
        <family val="3"/>
        <charset val="129"/>
      </rPr>
      <t>)</t>
    </r>
  </si>
  <si>
    <t>선체이자</t>
  </si>
  <si>
    <r>
      <rPr>
        <sz val="10"/>
        <rFont val="Noto Sans CJK SC"/>
        <family val="2"/>
      </rPr>
      <t>차입금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상환 시트 연도별 이자 — 성장률 미적용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우리 회사는 선박 차입 이자를 운항원가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선체이자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 xml:space="preserve">로 넣는다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단일연도 표에서는 영업외비용</t>
    </r>
    <r>
      <rPr>
        <sz val="10"/>
        <rFont val="맑은 고딕"/>
        <family val="3"/>
        <charset val="129"/>
      </rPr>
      <t>)</t>
    </r>
  </si>
  <si>
    <t>선체이자를 운항원가에 넣은 기준 — 단일연도 표보다 이자만큼 낮다</t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</si>
  <si>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 xml:space="preserve">평균 열은 평균 영업이익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평균 매출</t>
    </r>
  </si>
  <si>
    <r>
      <rPr>
        <sz val="10"/>
        <rFont val="맑은 고딕"/>
        <family val="3"/>
        <charset val="129"/>
      </rPr>
      <t>EBITDA (</t>
    </r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</si>
  <si>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선체이자 차감 후 기준</t>
    </r>
  </si>
  <si>
    <t>영업이익 누계</t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</si>
  <si>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보완</t>
    </r>
    <r>
      <rPr>
        <sz val="10"/>
        <rFont val="맑은 고딕"/>
        <family val="3"/>
        <charset val="129"/>
      </rPr>
      <t>] y+1</t>
    </r>
    <r>
      <rPr>
        <sz val="10"/>
        <rFont val="Noto Sans CJK SC"/>
        <family val="2"/>
      </rPr>
      <t>부터 누계</t>
    </r>
  </si>
  <si>
    <r>
      <rPr>
        <b/>
        <sz val="16"/>
        <rFont val="Noto Sans CJK SC"/>
        <family val="2"/>
      </rPr>
      <t>목표 영업이익률 도달 지표 — 참조</t>
    </r>
    <r>
      <rPr>
        <b/>
        <sz val="16"/>
        <rFont val="맑은 고딕"/>
        <family val="3"/>
        <charset val="129"/>
      </rPr>
      <t>(</t>
    </r>
    <r>
      <rPr>
        <b/>
        <sz val="16"/>
        <rFont val="Noto Sans CJK SC"/>
        <family val="2"/>
      </rPr>
      <t xml:space="preserve">대저페리 </t>
    </r>
    <r>
      <rPr>
        <b/>
        <sz val="16"/>
        <rFont val="맑은 고딕"/>
        <family val="3"/>
        <charset val="129"/>
      </rPr>
      <t>3</t>
    </r>
    <r>
      <rPr>
        <b/>
        <sz val="16"/>
        <rFont val="Noto Sans CJK SC"/>
        <family val="2"/>
      </rPr>
      <t>기</t>
    </r>
    <r>
      <rPr>
        <b/>
        <sz val="16"/>
        <rFont val="맑은 고딕"/>
        <family val="3"/>
        <charset val="129"/>
      </rPr>
      <t xml:space="preserve">) · </t>
    </r>
    <r>
      <rPr>
        <b/>
        <sz val="16"/>
        <rFont val="Noto Sans CJK SC"/>
        <family val="2"/>
      </rPr>
      <t>대조 선박</t>
    </r>
  </si>
  <si>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>= (P·Q + O) − (F + SV/</t>
    </r>
    <r>
      <rPr>
        <sz val="10"/>
        <rFont val="Noto Sans CJK SC"/>
        <family val="2"/>
      </rPr>
      <t>항차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항차</t>
    </r>
    <r>
      <rPr>
        <sz val="10"/>
        <rFont val="맑은 고딕"/>
        <family val="3"/>
        <charset val="129"/>
      </rPr>
      <t xml:space="preserve">(Q) + v·Q) · </t>
    </r>
    <r>
      <rPr>
        <sz val="10"/>
        <rFont val="Noto Sans CJK SC"/>
        <family val="2"/>
      </rPr>
      <t xml:space="preserve">목표 </t>
    </r>
    <r>
      <rPr>
        <sz val="10"/>
        <rFont val="맑은 고딕"/>
        <family val="3"/>
        <charset val="129"/>
      </rPr>
      <t xml:space="preserve">r </t>
    </r>
    <r>
      <rPr>
        <sz val="10"/>
        <rFont val="Noto Sans CJK SC"/>
        <family val="2"/>
      </rPr>
      <t xml:space="preserve">을 만족하는 </t>
    </r>
    <r>
      <rPr>
        <sz val="10"/>
        <rFont val="맑은 고딕"/>
        <family val="3"/>
        <charset val="129"/>
      </rPr>
      <t>Q = (F + SV·</t>
    </r>
    <r>
      <rPr>
        <sz val="10"/>
        <rFont val="Noto Sans CJK SC"/>
        <family val="2"/>
      </rPr>
      <t xml:space="preserve">항차 − </t>
    </r>
    <r>
      <rPr>
        <sz val="10"/>
        <rFont val="맑은 고딕"/>
        <family val="3"/>
        <charset val="129"/>
      </rPr>
      <t>(1−r)·O) ÷ ((1−r)·P − v)</t>
    </r>
  </si>
  <si>
    <r>
      <rPr>
        <b/>
        <sz val="11"/>
        <rFont val="맑은 고딕"/>
        <family val="3"/>
        <charset val="129"/>
      </rPr>
      <t xml:space="preserve">A. </t>
    </r>
    <r>
      <rPr>
        <b/>
        <sz val="11"/>
        <rFont val="Noto Sans CJK SC"/>
        <family val="2"/>
      </rPr>
      <t>참조 — 대저페리 제</t>
    </r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 xml:space="preserve">기 원가 구조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엘도라도 익스프레스호</t>
    </r>
    <r>
      <rPr>
        <b/>
        <sz val="11"/>
        <rFont val="맑은 고딕"/>
        <family val="3"/>
        <charset val="129"/>
      </rPr>
      <t>)</t>
    </r>
  </si>
  <si>
    <t>모형 입력</t>
  </si>
  <si>
    <r>
      <rPr>
        <sz val="10"/>
        <rFont val="Noto Sans CJK SC"/>
        <family val="2"/>
      </rPr>
      <t xml:space="preserve">고정비 </t>
    </r>
    <r>
      <rPr>
        <sz val="10"/>
        <rFont val="맑은 고딕"/>
        <family val="3"/>
        <charset val="129"/>
      </rPr>
      <t>F</t>
    </r>
  </si>
  <si>
    <r>
      <rPr>
        <sz val="10"/>
        <rFont val="Noto Sans CJK SC"/>
        <family val="2"/>
      </rPr>
      <t>원가구조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기준 </t>
    </r>
    <r>
      <rPr>
        <sz val="10"/>
        <rFont val="맑은 고딕"/>
        <family val="3"/>
        <charset val="129"/>
      </rPr>
      <t>5</t>
    </r>
  </si>
  <si>
    <r>
      <rPr>
        <sz val="10"/>
        <rFont val="Noto Sans CJK SC"/>
        <family val="2"/>
      </rPr>
      <t xml:space="preserve">준변동비 </t>
    </r>
    <r>
      <rPr>
        <sz val="10"/>
        <rFont val="맑은 고딕"/>
        <family val="3"/>
        <charset val="129"/>
      </rPr>
      <t>SV</t>
    </r>
  </si>
  <si>
    <t>항차에 비례</t>
  </si>
  <si>
    <t>설정 항차</t>
  </si>
  <si>
    <r>
      <rPr>
        <sz val="10"/>
        <rFont val="Noto Sans CJK SC"/>
        <family val="2"/>
      </rPr>
      <t xml:space="preserve">실현 단가 </t>
    </r>
    <r>
      <rPr>
        <sz val="10"/>
        <rFont val="맑은 고딕"/>
        <family val="3"/>
        <charset val="129"/>
      </rPr>
      <t>P</t>
    </r>
  </si>
  <si>
    <r>
      <rPr>
        <sz val="10"/>
        <rFont val="Noto Sans CJK SC"/>
        <family val="2"/>
      </rPr>
      <t xml:space="preserve">승객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 변동비 </t>
    </r>
    <r>
      <rPr>
        <sz val="10"/>
        <rFont val="맑은 고딕"/>
        <family val="3"/>
        <charset val="129"/>
      </rPr>
      <t>v</t>
    </r>
  </si>
  <si>
    <r>
      <rPr>
        <sz val="10"/>
        <rFont val="Noto Sans CJK SC"/>
        <family val="2"/>
      </rPr>
      <t xml:space="preserve">여객 외 수입 </t>
    </r>
    <r>
      <rPr>
        <sz val="10"/>
        <rFont val="맑은 고딕"/>
        <family val="3"/>
        <charset val="129"/>
      </rPr>
      <t>O</t>
    </r>
  </si>
  <si>
    <r>
      <rPr>
        <sz val="10"/>
        <rFont val="Noto Sans CJK SC"/>
        <family val="2"/>
      </rPr>
      <t xml:space="preserve">화물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임대료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실적</t>
    </r>
    <r>
      <rPr>
        <sz val="10"/>
        <rFont val="맑은 고딕"/>
        <family val="3"/>
        <charset val="129"/>
      </rPr>
      <t>)</t>
    </r>
  </si>
  <si>
    <t>정원</t>
  </si>
  <si>
    <t>엘도라도</t>
  </si>
  <si>
    <t>항차 자동 증가</t>
  </si>
  <si>
    <t>현재 승객수</t>
  </si>
  <si>
    <t>비교 기준 승객수</t>
  </si>
  <si>
    <t>실적 역산</t>
  </si>
  <si>
    <t>변동비 환산 분모</t>
  </si>
  <si>
    <r>
      <rPr>
        <sz val="10"/>
        <rFont val="Noto Sans CJK SC"/>
        <family val="2"/>
      </rPr>
      <t xml:space="preserve">실적 역산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공통</t>
    </r>
    <r>
      <rPr>
        <sz val="10"/>
        <rFont val="맑은 고딕"/>
        <family val="3"/>
        <charset val="129"/>
      </rPr>
      <t>)</t>
    </r>
  </si>
  <si>
    <t>수동 추가 변동비</t>
  </si>
  <si>
    <t>운항원가 — 고정</t>
  </si>
  <si>
    <t>운항원가 — 준변동</t>
  </si>
  <si>
    <t>운항원가 — 변동</t>
  </si>
  <si>
    <t>판관비 — 고정</t>
  </si>
  <si>
    <t>판관비 — 준변동</t>
  </si>
  <si>
    <t>판관비 — 변동</t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</si>
  <si>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판관 급여영역</t>
    </r>
  </si>
  <si>
    <t>현재 설정 승객수에서</t>
  </si>
  <si>
    <t>적용 항차</t>
  </si>
  <si>
    <t>영업이익</t>
  </si>
  <si>
    <t>필요 승객수</t>
  </si>
  <si>
    <r>
      <rPr>
        <b/>
        <sz val="10"/>
        <rFont val="Noto Sans CJK SC"/>
        <family val="2"/>
      </rPr>
      <t>실적 대비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명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</si>
  <si>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필요 운임
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현재 승객 고정</t>
    </r>
    <r>
      <rPr>
        <b/>
        <sz val="10"/>
        <rFont val="맑은 고딕"/>
        <family val="3"/>
        <charset val="129"/>
      </rPr>
      <t>)</t>
    </r>
  </si>
  <si>
    <t>항차당
승객</t>
  </si>
  <si>
    <t>운항원가율</t>
  </si>
  <si>
    <t>판관비</t>
  </si>
  <si>
    <t>판관비율</t>
  </si>
  <si>
    <t>전사
인건비율</t>
  </si>
  <si>
    <r>
      <rPr>
        <b/>
        <sz val="10"/>
        <rFont val="Noto Sans CJK SC"/>
        <family val="2"/>
      </rPr>
      <t xml:space="preserve">영업이익률
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검증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</si>
  <si>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분모 </t>
    </r>
    <r>
      <rPr>
        <b/>
        <sz val="10"/>
        <rFont val="맑은 고딕"/>
        <family val="3"/>
        <charset val="129"/>
      </rPr>
      <t>(1−r)P−v</t>
    </r>
  </si>
  <si>
    <r>
      <rPr>
        <b/>
        <sz val="10"/>
        <rFont val="Noto Sans CJK SC"/>
        <family val="2"/>
      </rPr>
      <t>항차</t>
    </r>
    <r>
      <rPr>
        <b/>
        <sz val="10"/>
        <rFont val="맑은 고딕"/>
        <family val="3"/>
        <charset val="129"/>
      </rPr>
      <t>0</t>
    </r>
  </si>
  <si>
    <t>Q0</t>
  </si>
  <si>
    <r>
      <rPr>
        <b/>
        <sz val="10"/>
        <rFont val="Noto Sans CJK SC"/>
        <family val="2"/>
      </rPr>
      <t>항차</t>
    </r>
    <r>
      <rPr>
        <b/>
        <sz val="10"/>
        <rFont val="맑은 고딕"/>
        <family val="3"/>
        <charset val="129"/>
      </rPr>
      <t>1</t>
    </r>
  </si>
  <si>
    <t>Q1</t>
  </si>
  <si>
    <r>
      <rPr>
        <b/>
        <sz val="10"/>
        <rFont val="Noto Sans CJK SC"/>
        <family val="2"/>
      </rPr>
      <t>항차</t>
    </r>
    <r>
      <rPr>
        <b/>
        <sz val="10"/>
        <rFont val="맑은 고딕"/>
        <family val="3"/>
        <charset val="129"/>
      </rPr>
      <t>2</t>
    </r>
  </si>
  <si>
    <t>Q2</t>
  </si>
  <si>
    <r>
      <rPr>
        <b/>
        <sz val="10"/>
        <rFont val="Noto Sans CJK SC"/>
        <family val="2"/>
      </rPr>
      <t>항차</t>
    </r>
    <r>
      <rPr>
        <b/>
        <sz val="10"/>
        <rFont val="맑은 고딕"/>
        <family val="3"/>
        <charset val="129"/>
      </rPr>
      <t>3</t>
    </r>
  </si>
  <si>
    <t>Q3</t>
  </si>
  <si>
    <r>
      <rPr>
        <sz val="10"/>
        <rFont val="Noto Sans CJK SC"/>
        <family val="2"/>
      </rPr>
      <t xml:space="preserve">필요 운임 </t>
    </r>
    <r>
      <rPr>
        <sz val="10"/>
        <rFont val="맑은 고딕"/>
        <family val="3"/>
        <charset val="129"/>
      </rPr>
      <t>= ((F + SV·</t>
    </r>
    <r>
      <rPr>
        <sz val="10"/>
        <rFont val="Noto Sans CJK SC"/>
        <family val="2"/>
      </rPr>
      <t>항차</t>
    </r>
    <r>
      <rPr>
        <sz val="10"/>
        <rFont val="맑은 고딕"/>
        <family val="3"/>
        <charset val="129"/>
      </rPr>
      <t>(Q</t>
    </r>
    <r>
      <rPr>
        <sz val="10"/>
        <rFont val="Noto Sans CJK SC"/>
        <family val="2"/>
      </rPr>
      <t>현재</t>
    </r>
    <r>
      <rPr>
        <sz val="10"/>
        <rFont val="맑은 고딕"/>
        <family val="3"/>
        <charset val="129"/>
      </rPr>
      <t>) + v·Q</t>
    </r>
    <r>
      <rPr>
        <sz val="10"/>
        <rFont val="Noto Sans CJK SC"/>
        <family val="2"/>
      </rPr>
      <t>현재</t>
    </r>
    <r>
      <rPr>
        <sz val="10"/>
        <rFont val="맑은 고딕"/>
        <family val="3"/>
        <charset val="129"/>
      </rPr>
      <t>) ÷ (1−r) − O) ÷ Q</t>
    </r>
    <r>
      <rPr>
        <sz val="10"/>
        <rFont val="Noto Sans CJK SC"/>
        <family val="2"/>
      </rPr>
      <t xml:space="preserve">현재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운항원가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판관비는 원가 구성표의 포함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성격을 따라 승객수로 다시 세운 값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영업이익률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검증</t>
    </r>
    <r>
      <rPr>
        <sz val="10"/>
        <rFont val="맑은 고딕"/>
        <family val="3"/>
        <charset val="129"/>
      </rPr>
      <t xml:space="preserve">) = </t>
    </r>
    <r>
      <rPr>
        <sz val="10"/>
        <rFont val="Noto Sans CJK SC"/>
        <family val="2"/>
      </rPr>
      <t>목표값과 같아야 한다</t>
    </r>
  </si>
  <si>
    <t>설정 목표 기준</t>
  </si>
  <si>
    <t>비교</t>
  </si>
  <si>
    <t>필요 운임</t>
  </si>
  <si>
    <t>필요 매출액</t>
  </si>
  <si>
    <t>허용 총비용</t>
  </si>
  <si>
    <r>
      <rPr>
        <b/>
        <sz val="11"/>
        <rFont val="맑은 고딕"/>
        <family val="3"/>
        <charset val="129"/>
      </rPr>
      <t xml:space="preserve">B. </t>
    </r>
    <r>
      <rPr>
        <b/>
        <sz val="11"/>
        <rFont val="Noto Sans CJK SC"/>
        <family val="2"/>
      </rPr>
      <t>대조 선박 — 하카타 항로 투입 시나리오</t>
    </r>
  </si>
  <si>
    <r>
      <rPr>
        <sz val="10"/>
        <rFont val="Noto Sans CJK SC"/>
        <family val="2"/>
      </rPr>
      <t>대조선박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손익 </t>
    </r>
    <r>
      <rPr>
        <sz val="10"/>
        <rFont val="맑은 고딕"/>
        <family val="3"/>
        <charset val="129"/>
      </rPr>
      <t>5</t>
    </r>
  </si>
  <si>
    <r>
      <rPr>
        <sz val="10"/>
        <rFont val="Noto Sans CJK SC"/>
        <family val="2"/>
      </rPr>
      <t xml:space="preserve">기준 자료와 같은 </t>
    </r>
    <r>
      <rPr>
        <sz val="10"/>
        <rFont val="맑은 고딕"/>
        <family val="3"/>
        <charset val="129"/>
      </rPr>
      <t>v</t>
    </r>
  </si>
  <si>
    <r>
      <rPr>
        <sz val="10"/>
        <rFont val="Noto Sans CJK SC"/>
        <family val="2"/>
      </rPr>
      <t xml:space="preserve">화물 시뮬레이션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임대료</t>
    </r>
  </si>
  <si>
    <t>승선율 기반</t>
  </si>
  <si>
    <t>현재 설정</t>
  </si>
  <si>
    <r>
      <rPr>
        <sz val="10"/>
        <rFont val="Noto Sans CJK SC"/>
        <family val="2"/>
      </rPr>
      <t xml:space="preserve">운항 인건비 </t>
    </r>
    <r>
      <rPr>
        <sz val="10"/>
        <rFont val="맑은 고딕"/>
        <family val="3"/>
        <charset val="129"/>
      </rPr>
      <t xml:space="preserve">× hR + </t>
    </r>
    <r>
      <rPr>
        <sz val="10"/>
        <rFont val="Noto Sans CJK SC"/>
        <family val="2"/>
      </rPr>
      <t>대조 판관 급여</t>
    </r>
  </si>
  <si>
    <r>
      <rPr>
        <b/>
        <sz val="10"/>
        <rFont val="Noto Sans CJK SC"/>
        <family val="2"/>
      </rPr>
      <t>현재 대비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명</t>
    </r>
    <r>
      <rPr>
        <b/>
        <sz val="10"/>
        <rFont val="맑은 고딕"/>
        <family val="3"/>
        <charset val="129"/>
      </rPr>
      <t>)</t>
    </r>
  </si>
  <si>
    <r>
      <rPr>
        <b/>
        <sz val="11"/>
        <rFont val="맑은 고딕"/>
        <family val="3"/>
        <charset val="129"/>
      </rPr>
      <t xml:space="preserve">C. </t>
    </r>
    <r>
      <rPr>
        <b/>
        <sz val="11"/>
        <rFont val="Noto Sans CJK SC"/>
        <family val="2"/>
      </rPr>
      <t xml:space="preserve">비교선 — 실적 </t>
    </r>
    <r>
      <rPr>
        <b/>
        <sz val="11"/>
        <rFont val="맑은 고딕"/>
        <family val="3"/>
        <charset val="129"/>
      </rPr>
      <t>2024 (</t>
    </r>
    <r>
      <rPr>
        <b/>
        <sz val="11"/>
        <rFont val="Noto Sans CJK SC"/>
        <family val="2"/>
      </rPr>
      <t xml:space="preserve">대저페리 </t>
    </r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>기</t>
    </r>
    <r>
      <rPr>
        <b/>
        <sz val="11"/>
        <rFont val="맑은 고딕"/>
        <family val="3"/>
        <charset val="129"/>
      </rPr>
      <t>)</t>
    </r>
  </si>
  <si>
    <t>전사 인건비율</t>
  </si>
  <si>
    <r>
      <rPr>
        <b/>
        <sz val="10"/>
        <rFont val="Noto Sans CJK SC"/>
        <family val="2"/>
      </rPr>
      <t xml:space="preserve">실적 </t>
    </r>
    <r>
      <rPr>
        <b/>
        <sz val="10"/>
        <rFont val="맑은 고딕"/>
        <family val="3"/>
        <charset val="129"/>
      </rPr>
      <t>2024</t>
    </r>
  </si>
  <si>
    <t>대조 — 현재 설정</t>
  </si>
  <si>
    <r>
      <rPr>
        <sz val="10"/>
        <rFont val="Noto Sans CJK SC"/>
        <family val="2"/>
      </rPr>
      <t>대조 현재 설정 행은 대조선박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 xml:space="preserve">손익 시트의 손익계산서 값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전 항목 포함 기준</t>
    </r>
    <r>
      <rPr>
        <sz val="10"/>
        <rFont val="맑은 고딕"/>
        <family val="3"/>
        <charset val="129"/>
      </rPr>
      <t>).</t>
    </r>
  </si>
  <si>
    <r>
      <rPr>
        <b/>
        <sz val="16"/>
        <rFont val="Noto Sans CJK SC"/>
        <family val="2"/>
      </rPr>
      <t xml:space="preserve">승객수–손익 구조 </t>
    </r>
    <r>
      <rPr>
        <b/>
        <sz val="16"/>
        <rFont val="맑은 고딕"/>
        <family val="3"/>
        <charset val="129"/>
      </rPr>
      <t>(CVP)</t>
    </r>
  </si>
  <si>
    <r>
      <rPr>
        <sz val="10"/>
        <rFont val="Noto Sans CJK SC"/>
        <family val="2"/>
      </rPr>
      <t xml:space="preserve">가로축 승객수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세로축 금액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백만원</t>
    </r>
    <r>
      <rPr>
        <sz val="10"/>
        <rFont val="맑은 고딕"/>
        <family val="3"/>
        <charset val="129"/>
      </rPr>
      <t xml:space="preserve">) · </t>
    </r>
    <r>
      <rPr>
        <sz val="10"/>
        <rFont val="Noto Sans CJK SC"/>
        <family val="2"/>
      </rPr>
      <t>매출선과 총비용선이 만나는 자리가 손익분기</t>
    </r>
  </si>
  <si>
    <r>
      <rPr>
        <b/>
        <sz val="11"/>
        <rFont val="맑은 고딕"/>
        <family val="3"/>
        <charset val="129"/>
      </rPr>
      <t xml:space="preserve">A. </t>
    </r>
    <r>
      <rPr>
        <b/>
        <sz val="11"/>
        <rFont val="Noto Sans CJK SC"/>
        <family val="2"/>
      </rPr>
      <t xml:space="preserve">참조 — 대저페리 </t>
    </r>
    <r>
      <rPr>
        <b/>
        <sz val="11"/>
        <rFont val="맑은 고딕"/>
        <family val="3"/>
        <charset val="129"/>
      </rPr>
      <t>3</t>
    </r>
    <r>
      <rPr>
        <b/>
        <sz val="11"/>
        <rFont val="Noto Sans CJK SC"/>
        <family val="2"/>
      </rPr>
      <t>기</t>
    </r>
  </si>
  <si>
    <r>
      <rPr>
        <b/>
        <sz val="11"/>
        <rFont val="맑은 고딕"/>
        <family val="3"/>
        <charset val="129"/>
      </rPr>
      <t xml:space="preserve">B. </t>
    </r>
    <r>
      <rPr>
        <b/>
        <sz val="11"/>
        <rFont val="Noto Sans CJK SC"/>
        <family val="2"/>
      </rPr>
      <t>대조 선박</t>
    </r>
  </si>
  <si>
    <t>표시점</t>
  </si>
  <si>
    <t>승객수</t>
  </si>
  <si>
    <r>
      <rPr>
        <b/>
        <sz val="10"/>
        <rFont val="Noto Sans CJK SC"/>
        <family val="2"/>
      </rPr>
      <t>매출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백만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</si>
  <si>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>총비용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백만</t>
    </r>
    <r>
      <rPr>
        <b/>
        <sz val="10"/>
        <rFont val="맑은 고딕"/>
        <family val="3"/>
        <charset val="129"/>
      </rPr>
      <t>)</t>
    </r>
  </si>
  <si>
    <t>손익분기</t>
  </si>
  <si>
    <t>목표 도달</t>
  </si>
  <si>
    <r>
      <rPr>
        <sz val="10"/>
        <rFont val="Noto Sans CJK SC"/>
        <family val="2"/>
      </rPr>
      <t>현재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실적</t>
    </r>
  </si>
  <si>
    <t>가로축 최대</t>
  </si>
  <si>
    <r>
      <rPr>
        <b/>
        <sz val="16"/>
        <rFont val="Noto Sans CJK SC"/>
        <family val="2"/>
      </rPr>
      <t xml:space="preserve">인건비 </t>
    </r>
    <r>
      <rPr>
        <b/>
        <sz val="16"/>
        <rFont val="맑은 고딕"/>
        <family val="3"/>
        <charset val="129"/>
      </rPr>
      <t>1</t>
    </r>
    <r>
      <rPr>
        <b/>
        <sz val="16"/>
        <rFont val="Noto Sans CJK SC"/>
        <family val="2"/>
      </rPr>
      <t xml:space="preserve">인당 분해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 xml:space="preserve">부가가치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지급수수료 점검</t>
    </r>
  </si>
  <si>
    <r>
      <rPr>
        <sz val="10"/>
        <rFont val="Noto Sans CJK SC"/>
        <family val="2"/>
      </rPr>
      <t xml:space="preserve">감사보고서 값만 쓰는 정적 분석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설정 인원에 따른 시뮬레이션 열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단위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원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</si>
  <si>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 xml:space="preserve">판관비 급여영역 — 과목별 </t>
    </r>
    <r>
      <rPr>
        <b/>
        <sz val="11"/>
        <rFont val="맑은 고딕"/>
        <family val="3"/>
        <charset val="129"/>
      </rPr>
      <t>1</t>
    </r>
    <r>
      <rPr>
        <b/>
        <sz val="11"/>
        <rFont val="Noto Sans CJK SC"/>
        <family val="2"/>
      </rPr>
      <t xml:space="preserve">인당 분해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기준 인원 </t>
    </r>
    <r>
      <rPr>
        <b/>
        <sz val="11"/>
        <rFont val="맑은 고딕"/>
        <family val="3"/>
        <charset val="129"/>
      </rPr>
      <t>30</t>
    </r>
    <r>
      <rPr>
        <b/>
        <sz val="11"/>
        <rFont val="Noto Sans CJK SC"/>
        <family val="2"/>
      </rPr>
      <t>명</t>
    </r>
    <r>
      <rPr>
        <b/>
        <sz val="11"/>
        <rFont val="맑은 고딕"/>
        <family val="3"/>
        <charset val="129"/>
      </rPr>
      <t>)</t>
    </r>
  </si>
  <si>
    <t>과목</t>
  </si>
  <si>
    <t>연간 합계</t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</si>
  <si>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인당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연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</si>
  <si>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인당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월</t>
    </r>
  </si>
  <si>
    <t>직원급여 대비</t>
  </si>
  <si>
    <t>급여영역 내 비중</t>
  </si>
  <si>
    <r>
      <rPr>
        <b/>
        <sz val="10"/>
        <rFont val="Noto Sans CJK SC"/>
        <family val="2"/>
      </rPr>
      <t xml:space="preserve">시뮬레이션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설정 지상직</t>
    </r>
    <r>
      <rPr>
        <b/>
        <sz val="10"/>
        <rFont val="맑은 고딕"/>
        <family val="3"/>
        <charset val="129"/>
      </rPr>
      <t>)</t>
    </r>
  </si>
  <si>
    <t>—</t>
  </si>
  <si>
    <t>급여영역 합계</t>
  </si>
  <si>
    <r>
      <rPr>
        <sz val="10"/>
        <rFont val="Noto Sans CJK SC"/>
        <family val="2"/>
      </rPr>
      <t xml:space="preserve">검산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퇴직급여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직원급여</t>
    </r>
  </si>
  <si>
    <r>
      <rPr>
        <b/>
        <sz val="11"/>
        <rFont val="맑은 고딕"/>
        <family val="3"/>
        <charset val="129"/>
      </rPr>
      <t xml:space="preserve">2. </t>
    </r>
    <r>
      <rPr>
        <b/>
        <sz val="11"/>
        <rFont val="Noto Sans CJK SC"/>
        <family val="2"/>
      </rPr>
      <t xml:space="preserve">인건비 — 지상직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해상직 분리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주석 </t>
    </r>
    <r>
      <rPr>
        <b/>
        <sz val="11"/>
        <rFont val="맑은 고딕"/>
        <family val="3"/>
        <charset val="129"/>
      </rPr>
      <t>15)</t>
    </r>
  </si>
  <si>
    <r>
      <rPr>
        <b/>
        <sz val="10"/>
        <rFont val="Noto Sans CJK SC"/>
        <family val="2"/>
      </rPr>
      <t xml:space="preserve">지상직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판관비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</si>
  <si>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해상직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운항원가</t>
    </r>
    <r>
      <rPr>
        <b/>
        <sz val="10"/>
        <rFont val="맑은 고딕"/>
        <family val="3"/>
        <charset val="129"/>
      </rPr>
      <t>)</t>
    </r>
  </si>
  <si>
    <t>해상직 비중</t>
  </si>
  <si>
    <r>
      <rPr>
        <b/>
        <sz val="10"/>
        <rFont val="Noto Sans CJK SC"/>
        <family val="2"/>
      </rPr>
      <t xml:space="preserve">지상직 </t>
    </r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인당</t>
    </r>
  </si>
  <si>
    <r>
      <rPr>
        <b/>
        <sz val="10"/>
        <rFont val="Noto Sans CJK SC"/>
        <family val="2"/>
      </rPr>
      <t xml:space="preserve">해상직 </t>
    </r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인당</t>
    </r>
  </si>
  <si>
    <t>현금 인건비 소계</t>
  </si>
  <si>
    <r>
      <rPr>
        <sz val="10"/>
        <rFont val="Noto Sans CJK SC"/>
        <family val="2"/>
      </rPr>
      <t xml:space="preserve">퇴직급여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비현금</t>
    </r>
    <r>
      <rPr>
        <sz val="10"/>
        <rFont val="맑은 고딕"/>
        <family val="3"/>
        <charset val="129"/>
      </rPr>
      <t>)</t>
    </r>
  </si>
  <si>
    <t>인건비 합계</t>
  </si>
  <si>
    <t>인원</t>
  </si>
  <si>
    <r>
      <rPr>
        <sz val="10"/>
        <rFont val="Noto Sans CJK SC"/>
        <family val="2"/>
      </rPr>
      <t>선원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승무원 인원은 가정 — 보고서에 없다</t>
    </r>
  </si>
  <si>
    <r>
      <rPr>
        <b/>
        <sz val="10"/>
        <rFont val="Noto Sans CJK SC"/>
        <family val="2"/>
      </rPr>
      <t xml:space="preserve">전사 인건비 </t>
    </r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인당</t>
    </r>
  </si>
  <si>
    <r>
      <rPr>
        <sz val="10"/>
        <rFont val="Noto Sans CJK SC"/>
        <family val="2"/>
      </rPr>
      <t xml:space="preserve">복리후생비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급여</t>
    </r>
  </si>
  <si>
    <r>
      <rPr>
        <sz val="10"/>
        <rFont val="Noto Sans CJK SC"/>
        <family val="2"/>
      </rPr>
      <t>해상직은 승선 중 식비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숙식 추정</t>
    </r>
  </si>
  <si>
    <r>
      <rPr>
        <sz val="10"/>
        <rFont val="Noto Sans CJK SC"/>
        <family val="2"/>
      </rPr>
      <t xml:space="preserve">퇴직급여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 xml:space="preserve">급여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법정 </t>
    </r>
    <r>
      <rPr>
        <sz val="10"/>
        <rFont val="맑은 고딕"/>
        <family val="3"/>
        <charset val="129"/>
      </rPr>
      <t>1/12 = 8.33%)</t>
    </r>
  </si>
  <si>
    <r>
      <rPr>
        <sz val="10"/>
        <rFont val="Noto Sans CJK SC"/>
        <family val="2"/>
      </rPr>
      <t xml:space="preserve">해상직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 xml:space="preserve">지상직 현금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</t>
    </r>
  </si>
  <si>
    <r>
      <rPr>
        <b/>
        <sz val="11"/>
        <rFont val="맑은 고딕"/>
        <family val="3"/>
        <charset val="129"/>
      </rPr>
      <t>3. 1</t>
    </r>
    <r>
      <rPr>
        <b/>
        <sz val="11"/>
        <rFont val="Noto Sans CJK SC"/>
        <family val="2"/>
      </rPr>
      <t xml:space="preserve">인당 인건비 — 헤더 지표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참조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>대조</t>
    </r>
    <r>
      <rPr>
        <b/>
        <sz val="11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</si>
  <si>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 xml:space="preserve">참조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실적</t>
    </r>
    <r>
      <rPr>
        <b/>
        <sz val="10"/>
        <rFont val="맑은 고딕"/>
        <family val="3"/>
        <charset val="129"/>
      </rPr>
      <t>)</t>
    </r>
  </si>
  <si>
    <t>현금 인건비 총액</t>
  </si>
  <si>
    <r>
      <rPr>
        <sz val="10"/>
        <rFont val="Noto Sans CJK SC"/>
        <family val="2"/>
      </rPr>
      <t>참조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판관 급여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 xml:space="preserve">복리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지상직</t>
    </r>
    <r>
      <rPr>
        <sz val="10"/>
        <rFont val="맑은 고딕"/>
        <family val="3"/>
        <charset val="129"/>
      </rPr>
      <t>×</t>
    </r>
    <r>
      <rPr>
        <sz val="10"/>
        <rFont val="Noto Sans CJK SC"/>
        <family val="2"/>
      </rPr>
      <t>현금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운항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급여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>)×hR</t>
    </r>
  </si>
  <si>
    <r>
      <rPr>
        <sz val="10"/>
        <rFont val="Noto Sans CJK SC"/>
        <family val="2"/>
      </rPr>
      <t xml:space="preserve">참조는 판관 기준 인원 </t>
    </r>
    <r>
      <rPr>
        <sz val="10"/>
        <rFont val="맑은 고딕"/>
        <family val="3"/>
        <charset val="129"/>
      </rPr>
      <t>30</t>
    </r>
    <r>
      <rPr>
        <sz val="10"/>
        <rFont val="Noto Sans CJK SC"/>
        <family val="2"/>
      </rPr>
      <t xml:space="preserve">명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대조는 지상직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해상직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</si>
  <si>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 xml:space="preserve">인당 현금 인건비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헤더 값</t>
    </r>
    <r>
      <rPr>
        <b/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</si>
  <si>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인건비 총액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퇴직 포함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</si>
  <si>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퇴직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비현금</t>
    </r>
    <r>
      <rPr>
        <sz val="10"/>
        <rFont val="맑은 고딕"/>
        <family val="3"/>
        <charset val="129"/>
      </rPr>
      <t>) 1</t>
    </r>
    <r>
      <rPr>
        <sz val="10"/>
        <rFont val="Noto Sans CJK SC"/>
        <family val="2"/>
      </rPr>
      <t>인당</t>
    </r>
  </si>
  <si>
    <r>
      <rPr>
        <sz val="10"/>
        <rFont val="Noto Sans CJK SC"/>
        <family val="2"/>
      </rPr>
      <t xml:space="preserve">합계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인당</t>
    </r>
  </si>
  <si>
    <r>
      <rPr>
        <b/>
        <sz val="11"/>
        <rFont val="맑은 고딕"/>
        <family val="3"/>
        <charset val="129"/>
      </rPr>
      <t xml:space="preserve">4. </t>
    </r>
    <r>
      <rPr>
        <b/>
        <sz val="11"/>
        <rFont val="Noto Sans CJK SC"/>
        <family val="2"/>
      </rPr>
      <t xml:space="preserve">부가가치 계산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주석 </t>
    </r>
    <r>
      <rPr>
        <b/>
        <sz val="11"/>
        <rFont val="맑은 고딕"/>
        <family val="3"/>
        <charset val="129"/>
      </rPr>
      <t xml:space="preserve">15 </t>
    </r>
    <r>
      <rPr>
        <b/>
        <sz val="11"/>
        <rFont val="Noto Sans CJK SC"/>
        <family val="2"/>
      </rPr>
      <t>기준</t>
    </r>
    <r>
      <rPr>
        <b/>
        <sz val="11"/>
        <rFont val="맑은 고딕"/>
        <family val="3"/>
        <charset val="129"/>
      </rPr>
      <t xml:space="preserve">) — </t>
    </r>
    <r>
      <rPr>
        <b/>
        <sz val="11"/>
        <rFont val="Noto Sans CJK SC"/>
        <family val="2"/>
      </rPr>
      <t>부가가치세와 다른 개념</t>
    </r>
  </si>
  <si>
    <t>구성요소</t>
  </si>
  <si>
    <t>당기 매출 대비</t>
  </si>
  <si>
    <r>
      <rPr>
        <sz val="10"/>
        <rFont val="Noto Sans CJK SC"/>
        <family val="2"/>
      </rPr>
      <t xml:space="preserve">경상손익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법인세비용차감전</t>
    </r>
    <r>
      <rPr>
        <sz val="10"/>
        <rFont val="맑은 고딕"/>
        <family val="3"/>
        <charset val="129"/>
      </rPr>
      <t>)</t>
    </r>
  </si>
  <si>
    <t>손익계산서 Ⅷ</t>
  </si>
  <si>
    <r>
      <rPr>
        <sz val="10"/>
        <rFont val="Noto Sans CJK SC"/>
        <family val="2"/>
      </rPr>
      <t xml:space="preserve">인건비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급여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퇴직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복리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</si>
  <si>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>판관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운항</t>
    </r>
  </si>
  <si>
    <r>
      <rPr>
        <sz val="10"/>
        <rFont val="Noto Sans CJK SC"/>
        <family val="2"/>
      </rPr>
      <t xml:space="preserve">순금융비용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이자비용−이자수익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</si>
  <si>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>15</t>
    </r>
  </si>
  <si>
    <t>조세공과</t>
  </si>
  <si>
    <t>부가가치</t>
  </si>
  <si>
    <r>
      <rPr>
        <b/>
        <sz val="10"/>
        <rFont val="Noto Sans CJK SC"/>
        <family val="2"/>
      </rPr>
      <t xml:space="preserve">부가가치율 </t>
    </r>
    <r>
      <rPr>
        <b/>
        <sz val="10"/>
        <rFont val="맑은 고딕"/>
        <family val="3"/>
        <charset val="129"/>
      </rPr>
      <t xml:space="preserve">(÷ </t>
    </r>
    <r>
      <rPr>
        <b/>
        <sz val="10"/>
        <rFont val="Noto Sans CJK SC"/>
        <family val="2"/>
      </rPr>
      <t>매출액</t>
    </r>
    <r>
      <rPr>
        <b/>
        <sz val="10"/>
        <rFont val="맑은 고딕"/>
        <family val="3"/>
        <charset val="129"/>
      </rPr>
      <t>)</t>
    </r>
  </si>
  <si>
    <r>
      <rPr>
        <b/>
        <sz val="11"/>
        <rFont val="맑은 고딕"/>
        <family val="3"/>
        <charset val="129"/>
      </rPr>
      <t xml:space="preserve">5. </t>
    </r>
    <r>
      <rPr>
        <b/>
        <sz val="11"/>
        <rFont val="Noto Sans CJK SC"/>
        <family val="2"/>
      </rPr>
      <t xml:space="preserve">부가세 </t>
    </r>
    <r>
      <rPr>
        <b/>
        <sz val="11"/>
        <rFont val="맑은 고딕"/>
        <family val="3"/>
        <charset val="129"/>
      </rPr>
      <t xml:space="preserve">10% </t>
    </r>
    <r>
      <rPr>
        <b/>
        <sz val="11"/>
        <rFont val="Noto Sans CJK SC"/>
        <family val="2"/>
      </rPr>
      <t>역산 — 가능한가</t>
    </r>
    <r>
      <rPr>
        <b/>
        <sz val="11"/>
        <rFont val="맑은 고딕"/>
        <family val="3"/>
        <charset val="129"/>
      </rPr>
      <t>? (</t>
    </r>
    <r>
      <rPr>
        <b/>
        <sz val="11"/>
        <rFont val="Noto Sans CJK SC"/>
        <family val="2"/>
      </rPr>
      <t>결론</t>
    </r>
    <r>
      <rPr>
        <b/>
        <sz val="11"/>
        <rFont val="맑은 고딕"/>
        <family val="3"/>
        <charset val="129"/>
      </rPr>
      <t xml:space="preserve">: </t>
    </r>
    <r>
      <rPr>
        <b/>
        <sz val="11"/>
        <rFont val="Noto Sans CJK SC"/>
        <family val="2"/>
      </rPr>
      <t>역산 불가</t>
    </r>
    <r>
      <rPr>
        <b/>
        <sz val="11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</si>
  <si>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부가세예수금 </t>
    </r>
    <r>
      <rPr>
        <sz val="10"/>
        <rFont val="맑은 고딕"/>
        <family val="3"/>
        <charset val="129"/>
      </rPr>
      <t>(2024.12.31)</t>
    </r>
  </si>
  <si>
    <t>재무상태표 유동부채</t>
  </si>
  <si>
    <r>
      <rPr>
        <sz val="10"/>
        <rFont val="Noto Sans CJK SC"/>
        <family val="2"/>
      </rPr>
      <t xml:space="preserve">부가세예수금 </t>
    </r>
    <r>
      <rPr>
        <sz val="10"/>
        <rFont val="맑은 고딕"/>
        <family val="3"/>
        <charset val="129"/>
      </rPr>
      <t>(2023.12.31)</t>
    </r>
  </si>
  <si>
    <r>
      <rPr>
        <sz val="10"/>
        <rFont val="Noto Sans CJK SC"/>
        <family val="2"/>
      </rPr>
      <t xml:space="preserve">전기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감사받지 아니함</t>
    </r>
  </si>
  <si>
    <t>당기 증가액</t>
  </si>
  <si>
    <t>현금흐름표 기재액과 일치 — 연간 매출세액이 아니라 누적 잔액</t>
  </si>
  <si>
    <r>
      <rPr>
        <sz val="10"/>
        <rFont val="Noto Sans CJK SC"/>
        <family val="2"/>
      </rPr>
      <t xml:space="preserve">여객수입 전액 </t>
    </r>
    <r>
      <rPr>
        <sz val="10"/>
        <rFont val="맑은 고딕"/>
        <family val="3"/>
        <charset val="129"/>
      </rPr>
      <t xml:space="preserve">10% </t>
    </r>
    <r>
      <rPr>
        <sz val="10"/>
        <rFont val="Noto Sans CJK SC"/>
        <family val="2"/>
      </rPr>
      <t>과세 시 연간 매출세액</t>
    </r>
  </si>
  <si>
    <t>참고 — 실제 과세 여부 미상</t>
  </si>
  <si>
    <r>
      <rPr>
        <sz val="10"/>
        <rFont val="Noto Sans CJK SC"/>
        <family val="2"/>
      </rPr>
      <t xml:space="preserve">기말잔액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연간 매출세액</t>
    </r>
  </si>
  <si>
    <r>
      <rPr>
        <sz val="10"/>
        <rFont val="Noto Sans CJK SC"/>
        <family val="2"/>
      </rPr>
      <t xml:space="preserve">부가세대급금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매입세액</t>
    </r>
    <r>
      <rPr>
        <sz val="10"/>
        <rFont val="맑은 고딕"/>
        <family val="3"/>
        <charset val="129"/>
      </rPr>
      <t>)</t>
    </r>
  </si>
  <si>
    <t>미공시</t>
  </si>
  <si>
    <t>재무상태표에 없음</t>
  </si>
  <si>
    <r>
      <rPr>
        <sz val="10"/>
        <rFont val="Noto Sans CJK SC"/>
        <family val="2"/>
      </rPr>
      <t xml:space="preserve">부가세 비대상 비중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인건비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 xml:space="preserve">) ÷ </t>
    </r>
    <r>
      <rPr>
        <sz val="10"/>
        <rFont val="Noto Sans CJK SC"/>
        <family val="2"/>
      </rPr>
      <t>운항원가</t>
    </r>
  </si>
  <si>
    <r>
      <rPr>
        <b/>
        <sz val="11"/>
        <rFont val="맑은 고딕"/>
        <family val="3"/>
        <charset val="129"/>
      </rPr>
      <t xml:space="preserve">6. </t>
    </r>
    <r>
      <rPr>
        <b/>
        <sz val="11"/>
        <rFont val="Noto Sans CJK SC"/>
        <family val="2"/>
      </rPr>
      <t xml:space="preserve">지급수수료 점검 — 판관비 최대 단일 과목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백만원</t>
    </r>
    <r>
      <rPr>
        <b/>
        <sz val="11"/>
        <rFont val="맑은 고딕"/>
        <family val="3"/>
        <charset val="129"/>
      </rPr>
      <t>)</t>
    </r>
  </si>
  <si>
    <t>판관비 과목</t>
  </si>
  <si>
    <t>증감률</t>
  </si>
  <si>
    <r>
      <rPr>
        <b/>
        <sz val="10"/>
        <rFont val="Noto Sans CJK SC"/>
        <family val="2"/>
      </rPr>
      <t xml:space="preserve">급여영역 </t>
    </r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과목</t>
    </r>
  </si>
  <si>
    <t>판관비 총계</t>
  </si>
  <si>
    <r>
      <rPr>
        <sz val="10"/>
        <rFont val="Noto Sans CJK SC"/>
        <family val="2"/>
      </rPr>
      <t xml:space="preserve">지급수수료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판관비</t>
    </r>
  </si>
  <si>
    <r>
      <rPr>
        <sz val="10"/>
        <rFont val="Noto Sans CJK SC"/>
        <family val="2"/>
      </rPr>
      <t xml:space="preserve">승객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인당 지급수수료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실적 역산 기준</t>
    </r>
    <r>
      <rPr>
        <sz val="10"/>
        <rFont val="맑은 고딕"/>
        <family val="3"/>
        <charset val="129"/>
      </rPr>
      <t>)</t>
    </r>
  </si>
  <si>
    <t>└ 실현 단가 대비</t>
  </si>
  <si>
    <r>
      <rPr>
        <sz val="10"/>
        <rFont val="Noto Sans CJK SC"/>
        <family val="2"/>
      </rPr>
      <t xml:space="preserve">판매채널 비용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지급수수료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광고선전비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당기</t>
    </r>
  </si>
  <si>
    <t>└ 매출 대비</t>
  </si>
  <si>
    <t>판매채널 비용 전기</t>
  </si>
  <si>
    <t>취항 초기 판매채널 비용 집중 — 신규 항로는 전기 수준을 상정할 필요</t>
  </si>
  <si>
    <r>
      <rPr>
        <b/>
        <sz val="16"/>
        <rFont val="Noto Sans CJK SC"/>
        <family val="2"/>
      </rPr>
      <t xml:space="preserve">운임표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 xml:space="preserve">화물 적재 케이스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선박 제원</t>
    </r>
  </si>
  <si>
    <r>
      <rPr>
        <sz val="10"/>
        <rFont val="Noto Sans CJK SC"/>
        <family val="2"/>
      </rPr>
      <t xml:space="preserve">출처 자료를 지면 그대로 옮긴 값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원자료 하드코딩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계산</t>
    </r>
    <r>
      <rPr>
        <sz val="10"/>
        <rFont val="맑은 고딕"/>
        <family val="3"/>
        <charset val="129"/>
      </rPr>
      <t>)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</si>
  <si>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 xml:space="preserve">대저페리 공시 운임표 — 포항↔울릉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엘도라도 익스프레스호 </t>
    </r>
    <r>
      <rPr>
        <b/>
        <sz val="11"/>
        <rFont val="맑은 고딕"/>
        <family val="3"/>
        <charset val="129"/>
      </rPr>
      <t>(4~10</t>
    </r>
    <r>
      <rPr>
        <b/>
        <sz val="11"/>
        <rFont val="Noto Sans CJK SC"/>
        <family val="2"/>
      </rPr>
      <t>월 월</t>
    </r>
    <r>
      <rPr>
        <b/>
        <sz val="11"/>
        <rFont val="맑은 고딕"/>
        <family val="3"/>
        <charset val="129"/>
      </rPr>
      <t>~</t>
    </r>
    <r>
      <rPr>
        <b/>
        <sz val="11"/>
        <rFont val="Noto Sans CJK SC"/>
        <family val="2"/>
      </rPr>
      <t>목</t>
    </r>
    <r>
      <rPr>
        <b/>
        <sz val="11"/>
        <rFont val="맑은 고딕"/>
        <family val="3"/>
        <charset val="129"/>
      </rPr>
      <t xml:space="preserve">, </t>
    </r>
    <r>
      <rPr>
        <b/>
        <sz val="11"/>
        <rFont val="Noto Sans CJK SC"/>
        <family val="2"/>
      </rPr>
      <t xml:space="preserve">공휴일 제외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편도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>원</t>
    </r>
    <r>
      <rPr>
        <b/>
        <sz val="11"/>
        <rFont val="맑은 고딕"/>
        <family val="3"/>
        <charset val="129"/>
      </rPr>
      <t>)</t>
    </r>
  </si>
  <si>
    <t>이코노미 정상</t>
  </si>
  <si>
    <t>이코노미 할증</t>
  </si>
  <si>
    <t>비즈니스 정상</t>
  </si>
  <si>
    <t>비즈니스 할증</t>
  </si>
  <si>
    <t>퍼스트 정상</t>
  </si>
  <si>
    <t>퍼스트 할증</t>
  </si>
  <si>
    <t>대인</t>
  </si>
  <si>
    <r>
      <rPr>
        <sz val="10"/>
        <rFont val="Noto Sans CJK SC"/>
        <family val="2"/>
      </rPr>
      <t xml:space="preserve">중고생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군인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유공자</t>
    </r>
  </si>
  <si>
    <r>
      <rPr>
        <sz val="10"/>
        <rFont val="Noto Sans CJK SC"/>
        <family val="2"/>
      </rPr>
      <t xml:space="preserve">경로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장애경증</t>
    </r>
  </si>
  <si>
    <r>
      <rPr>
        <sz val="10"/>
        <rFont val="Noto Sans CJK SC"/>
        <family val="2"/>
      </rPr>
      <t xml:space="preserve">장애중증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보호자동반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인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</si>
  <si>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소아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만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세</t>
    </r>
    <r>
      <rPr>
        <sz val="10"/>
        <rFont val="맑은 고딕"/>
        <family val="3"/>
        <charset val="129"/>
      </rPr>
      <t>~12</t>
    </r>
    <r>
      <rPr>
        <sz val="10"/>
        <rFont val="Noto Sans CJK SC"/>
        <family val="2"/>
      </rPr>
      <t>세미만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</si>
  <si>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유아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만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세미만</t>
    </r>
    <r>
      <rPr>
        <sz val="10"/>
        <rFont val="맑은 고딕"/>
        <family val="3"/>
        <charset val="129"/>
      </rPr>
      <t>)</t>
    </r>
  </si>
  <si>
    <t>무임</t>
  </si>
  <si>
    <r>
      <rPr>
        <b/>
        <sz val="10"/>
        <rFont val="Noto Sans CJK SC"/>
        <family val="2"/>
      </rPr>
      <t xml:space="preserve">배율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 xml:space="preserve">대인 이코노미 정상 </t>
    </r>
    <r>
      <rPr>
        <b/>
        <sz val="10"/>
        <rFont val="맑은 고딕"/>
        <family val="3"/>
        <charset val="129"/>
      </rPr>
      <t>= 1)</t>
    </r>
  </si>
  <si>
    <r>
      <rPr>
        <sz val="10"/>
        <rFont val="Noto Sans CJK SC"/>
        <family val="2"/>
      </rPr>
      <t xml:space="preserve">좌석 등급 배율은 공시 운임에서 뽑는다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비즈니스 </t>
    </r>
    <r>
      <rPr>
        <sz val="10"/>
        <rFont val="맑은 고딕"/>
        <family val="3"/>
        <charset val="129"/>
      </rPr>
      <t xml:space="preserve">121,500÷81,000 = 1.5 · </t>
    </r>
    <r>
      <rPr>
        <sz val="10"/>
        <rFont val="Noto Sans CJK SC"/>
        <family val="2"/>
      </rPr>
      <t xml:space="preserve">퍼스트 </t>
    </r>
    <r>
      <rPr>
        <sz val="10"/>
        <rFont val="맑은 고딕"/>
        <family val="3"/>
        <charset val="129"/>
      </rPr>
      <t xml:space="preserve">171,500÷81,000 = 2.1173). </t>
    </r>
    <r>
      <rPr>
        <sz val="10"/>
        <rFont val="Noto Sans CJK SC"/>
        <family val="2"/>
      </rPr>
      <t>여객수입에 등급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할인이 섞여 있어 단일 운임으로 나눈 승객수는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환산 유상여객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이다</t>
    </r>
    <r>
      <rPr>
        <sz val="10"/>
        <rFont val="맑은 고딕"/>
        <family val="3"/>
        <charset val="129"/>
      </rPr>
      <t>.</t>
    </r>
  </si>
  <si>
    <r>
      <rPr>
        <b/>
        <sz val="11"/>
        <rFont val="맑은 고딕"/>
        <family val="3"/>
        <charset val="129"/>
      </rPr>
      <t xml:space="preserve">2. </t>
    </r>
    <r>
      <rPr>
        <b/>
        <sz val="11"/>
        <rFont val="Noto Sans CJK SC"/>
        <family val="2"/>
      </rPr>
      <t>선박 제원 — 참조</t>
    </r>
    <r>
      <rPr>
        <b/>
        <sz val="11"/>
        <rFont val="맑은 고딕"/>
        <family val="3"/>
        <charset val="129"/>
      </rPr>
      <t>·</t>
    </r>
    <r>
      <rPr>
        <b/>
        <sz val="11"/>
        <rFont val="Noto Sans CJK SC"/>
        <family val="2"/>
      </rPr>
      <t>대조 선박 목록</t>
    </r>
  </si>
  <si>
    <t>운영사</t>
  </si>
  <si>
    <r>
      <rPr>
        <b/>
        <sz val="10"/>
        <rFont val="맑은 고딕"/>
        <family val="3"/>
        <charset val="129"/>
      </rPr>
      <t>GT(</t>
    </r>
    <r>
      <rPr>
        <b/>
        <sz val="10"/>
        <rFont val="Noto Sans CJK SC"/>
        <family val="2"/>
      </rPr>
      <t>톤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</si>
  <si>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>전장</t>
    </r>
    <r>
      <rPr>
        <b/>
        <sz val="10"/>
        <rFont val="맑은 고딕"/>
        <family val="3"/>
        <charset val="129"/>
      </rPr>
      <t>(m)</t>
    </r>
  </si>
  <si>
    <r>
      <rPr>
        <b/>
        <sz val="10"/>
        <rFont val="Noto Sans CJK SC"/>
        <family val="2"/>
      </rPr>
      <t>전폭</t>
    </r>
    <r>
      <rPr>
        <b/>
        <sz val="10"/>
        <rFont val="맑은 고딕"/>
        <family val="3"/>
        <charset val="129"/>
      </rPr>
      <t>(m)</t>
    </r>
  </si>
  <si>
    <r>
      <rPr>
        <b/>
        <sz val="10"/>
        <rFont val="Noto Sans CJK SC"/>
        <family val="2"/>
      </rPr>
      <t>여객정원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명</t>
    </r>
    <r>
      <rPr>
        <b/>
        <sz val="10"/>
        <rFont val="맑은 고딕"/>
        <family val="3"/>
        <charset val="129"/>
      </rPr>
      <t>)</t>
    </r>
  </si>
  <si>
    <r>
      <rPr>
        <b/>
        <sz val="10"/>
        <rFont val="Noto Sans CJK SC"/>
        <family val="2"/>
      </rPr>
      <t>최고속력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노트</t>
    </r>
    <r>
      <rPr>
        <b/>
        <sz val="10"/>
        <rFont val="맑은 고딕"/>
        <family val="3"/>
        <charset val="129"/>
      </rPr>
      <t>)</t>
    </r>
  </si>
  <si>
    <t>항로</t>
  </si>
  <si>
    <t>대저페리</t>
  </si>
  <si>
    <r>
      <rPr>
        <sz val="10"/>
        <rFont val="Noto Sans CJK SC"/>
        <family val="2"/>
      </rPr>
      <t xml:space="preserve">포항↔울릉 </t>
    </r>
    <r>
      <rPr>
        <sz val="10"/>
        <rFont val="맑은 고딕"/>
        <family val="3"/>
        <charset val="129"/>
      </rPr>
      <t>217km</t>
    </r>
  </si>
  <si>
    <r>
      <rPr>
        <sz val="10"/>
        <rFont val="Noto Sans CJK SC"/>
        <family val="2"/>
      </rPr>
      <t xml:space="preserve">대저페리 공식 선박정보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운항관리규정</t>
    </r>
  </si>
  <si>
    <t>참조 선박 — 감사보고서가 이 배의 실적</t>
  </si>
  <si>
    <t>시월드고속훼리</t>
  </si>
  <si>
    <r>
      <rPr>
        <sz val="10"/>
        <rFont val="Noto Sans CJK SC"/>
        <family val="2"/>
      </rPr>
      <t xml:space="preserve">부산↔하카타 </t>
    </r>
    <r>
      <rPr>
        <sz val="10"/>
        <rFont val="맑은 고딕"/>
        <family val="3"/>
        <charset val="129"/>
      </rPr>
      <t>213km (</t>
    </r>
    <r>
      <rPr>
        <sz val="10"/>
        <rFont val="Noto Sans CJK SC"/>
        <family val="2"/>
      </rPr>
      <t>구상</t>
    </r>
    <r>
      <rPr>
        <sz val="10"/>
        <rFont val="맑은 고딕"/>
        <family val="3"/>
        <charset val="129"/>
      </rPr>
      <t>)</t>
    </r>
  </si>
  <si>
    <t>대조 선박 — 하카타 항로 투입 구상</t>
  </si>
  <si>
    <t>퀸비틀</t>
  </si>
  <si>
    <r>
      <rPr>
        <sz val="10"/>
        <rFont val="맑은 고딕"/>
        <family val="3"/>
        <charset val="129"/>
      </rPr>
      <t>JR</t>
    </r>
    <r>
      <rPr>
        <sz val="10"/>
        <rFont val="Noto Sans CJK SC"/>
        <family val="2"/>
      </rPr>
      <t>큐슈고속선</t>
    </r>
  </si>
  <si>
    <r>
      <rPr>
        <sz val="10"/>
        <rFont val="Noto Sans CJK SC"/>
        <family val="2"/>
      </rPr>
      <t xml:space="preserve">부산↔하카타 </t>
    </r>
    <r>
      <rPr>
        <sz val="10"/>
        <rFont val="맑은 고딕"/>
        <family val="3"/>
        <charset val="129"/>
      </rPr>
      <t>213km</t>
    </r>
  </si>
  <si>
    <r>
      <rPr>
        <sz val="10"/>
        <rFont val="Noto Sans CJK SC"/>
        <family val="2"/>
      </rPr>
      <t xml:space="preserve">보류 — 원가 자료 미확보 </t>
    </r>
    <r>
      <rPr>
        <sz val="10"/>
        <rFont val="맑은 고딕"/>
        <family val="3"/>
        <charset val="129"/>
      </rPr>
      <t>(JR</t>
    </r>
    <r>
      <rPr>
        <sz val="10"/>
        <rFont val="Noto Sans CJK SC"/>
        <family val="2"/>
      </rPr>
      <t>큐슈 자회사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개별 재무제표 없음</t>
    </r>
    <r>
      <rPr>
        <sz val="10"/>
        <rFont val="맑은 고딕"/>
        <family val="3"/>
        <charset val="129"/>
      </rPr>
      <t>)</t>
    </r>
  </si>
  <si>
    <t>코리아프라이드호</t>
  </si>
  <si>
    <t>고려고속훼리</t>
  </si>
  <si>
    <r>
      <rPr>
        <sz val="10"/>
        <rFont val="Noto Sans CJK SC"/>
        <family val="2"/>
      </rPr>
      <t xml:space="preserve">인천 연안부두↔백령도 </t>
    </r>
    <r>
      <rPr>
        <sz val="10"/>
        <rFont val="맑은 고딕"/>
        <family val="3"/>
        <charset val="129"/>
      </rPr>
      <t>218km</t>
    </r>
  </si>
  <si>
    <r>
      <rPr>
        <sz val="10"/>
        <rFont val="Noto Sans CJK SC"/>
        <family val="2"/>
      </rPr>
      <t xml:space="preserve">경인일보 </t>
    </r>
    <r>
      <rPr>
        <sz val="10"/>
        <rFont val="맑은 고딕"/>
        <family val="3"/>
        <charset val="129"/>
      </rPr>
      <t>2022.08</t>
    </r>
  </si>
  <si>
    <r>
      <rPr>
        <sz val="10"/>
        <rFont val="Noto Sans CJK SC"/>
        <family val="2"/>
      </rPr>
      <t>보류 — 다수 항로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선박 운용으로 이 배의 손익 분리 불가</t>
    </r>
  </si>
  <si>
    <r>
      <rPr>
        <b/>
        <sz val="11"/>
        <rFont val="맑은 고딕"/>
        <family val="3"/>
        <charset val="129"/>
      </rPr>
      <t xml:space="preserve">3. </t>
    </r>
    <r>
      <rPr>
        <b/>
        <sz val="11"/>
        <rFont val="Noto Sans CJK SC"/>
        <family val="2"/>
      </rPr>
      <t xml:space="preserve">시월드고속훼리 차량 운임표 — 진도↔제주 </t>
    </r>
    <r>
      <rPr>
        <b/>
        <sz val="11"/>
        <rFont val="맑은 고딕"/>
        <family val="3"/>
        <charset val="129"/>
      </rPr>
      <t xml:space="preserve">· </t>
    </r>
    <r>
      <rPr>
        <b/>
        <sz val="11"/>
        <rFont val="Noto Sans CJK SC"/>
        <family val="2"/>
      </rPr>
      <t xml:space="preserve">편도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원</t>
    </r>
    <r>
      <rPr>
        <b/>
        <sz val="11"/>
        <rFont val="맑은 고딕"/>
        <family val="3"/>
        <charset val="129"/>
      </rPr>
      <t>) · 2024</t>
    </r>
  </si>
  <si>
    <t>차종</t>
  </si>
  <si>
    <t>예시 차량</t>
  </si>
  <si>
    <r>
      <rPr>
        <b/>
        <sz val="10"/>
        <rFont val="Noto Sans CJK SC"/>
        <family val="2"/>
      </rPr>
      <t>월</t>
    </r>
    <r>
      <rPr>
        <b/>
        <sz val="10"/>
        <rFont val="맑은 고딕"/>
        <family val="3"/>
        <charset val="129"/>
      </rPr>
      <t>~</t>
    </r>
    <r>
      <rPr>
        <b/>
        <sz val="10"/>
        <rFont val="Noto Sans CJK SC"/>
        <family val="2"/>
      </rPr>
      <t>토 일반</t>
    </r>
  </si>
  <si>
    <r>
      <rPr>
        <b/>
        <sz val="10"/>
        <rFont val="Noto Sans CJK SC"/>
        <family val="2"/>
      </rPr>
      <t>월</t>
    </r>
    <r>
      <rPr>
        <b/>
        <sz val="10"/>
        <rFont val="맑은 고딕"/>
        <family val="3"/>
        <charset val="129"/>
      </rPr>
      <t>~</t>
    </r>
    <r>
      <rPr>
        <b/>
        <sz val="10"/>
        <rFont val="Noto Sans CJK SC"/>
        <family val="2"/>
      </rPr>
      <t>토 인터넷</t>
    </r>
  </si>
  <si>
    <r>
      <rPr>
        <b/>
        <sz val="10"/>
        <rFont val="Noto Sans CJK SC"/>
        <family val="2"/>
      </rPr>
      <t>일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공휴일 일반</t>
    </r>
  </si>
  <si>
    <r>
      <rPr>
        <b/>
        <sz val="10"/>
        <rFont val="Noto Sans CJK SC"/>
        <family val="2"/>
      </rPr>
      <t>일</t>
    </r>
    <r>
      <rPr>
        <b/>
        <sz val="10"/>
        <rFont val="맑은 고딕"/>
        <family val="3"/>
        <charset val="129"/>
      </rPr>
      <t>·</t>
    </r>
    <r>
      <rPr>
        <b/>
        <sz val="10"/>
        <rFont val="Noto Sans CJK SC"/>
        <family val="2"/>
      </rPr>
      <t>공휴일 인터넷</t>
    </r>
  </si>
  <si>
    <t>케이스 적용</t>
  </si>
  <si>
    <r>
      <rPr>
        <sz val="10"/>
        <rFont val="Noto Sans CJK SC"/>
        <family val="2"/>
      </rPr>
      <t>국산 경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소형차</t>
    </r>
  </si>
  <si>
    <r>
      <rPr>
        <sz val="10"/>
        <rFont val="Noto Sans CJK SC"/>
        <family val="2"/>
      </rPr>
      <t>모닝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스파크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캐스퍼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다마스 등</t>
    </r>
  </si>
  <si>
    <t>소형</t>
  </si>
  <si>
    <r>
      <rPr>
        <sz val="10"/>
        <rFont val="Noto Sans CJK SC"/>
        <family val="2"/>
      </rPr>
      <t>라보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타우너 공차</t>
    </r>
  </si>
  <si>
    <r>
      <rPr>
        <sz val="10"/>
        <rFont val="Noto Sans CJK SC"/>
        <family val="2"/>
      </rPr>
      <t>라보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타우너 영차</t>
    </r>
  </si>
  <si>
    <t>준중형</t>
  </si>
  <si>
    <r>
      <rPr>
        <sz val="10"/>
        <rFont val="Noto Sans CJK SC"/>
        <family val="2"/>
      </rPr>
      <t>엑센트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베르나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벨로스터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클릭 등</t>
    </r>
  </si>
  <si>
    <t>중형</t>
  </si>
  <si>
    <r>
      <rPr>
        <sz val="10"/>
        <rFont val="Noto Sans CJK SC"/>
        <family val="2"/>
      </rPr>
      <t>아반떼</t>
    </r>
    <r>
      <rPr>
        <sz val="10"/>
        <rFont val="맑은 고딕"/>
        <family val="3"/>
        <charset val="129"/>
      </rPr>
      <t>·I30·SM3·</t>
    </r>
    <r>
      <rPr>
        <sz val="10"/>
        <rFont val="Noto Sans CJK SC"/>
        <family val="2"/>
      </rPr>
      <t>티볼리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아이오닉 등</t>
    </r>
  </si>
  <si>
    <r>
      <rPr>
        <sz val="10"/>
        <rFont val="Noto Sans CJK SC"/>
        <family val="2"/>
      </rPr>
      <t>중형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대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</si>
  <si>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쏘나타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말리부</t>
    </r>
    <r>
      <rPr>
        <sz val="10"/>
        <rFont val="맑은 고딕"/>
        <family val="3"/>
        <charset val="129"/>
      </rPr>
      <t xml:space="preserve">·SM5·SM6·K5 </t>
    </r>
    <r>
      <rPr>
        <sz val="10"/>
        <rFont val="Noto Sans CJK SC"/>
        <family val="2"/>
      </rPr>
      <t>등</t>
    </r>
  </si>
  <si>
    <t>대형</t>
  </si>
  <si>
    <r>
      <rPr>
        <sz val="10"/>
        <rFont val="Noto Sans CJK SC"/>
        <family val="2"/>
      </rPr>
      <t>그랜저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에쿠스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체어맨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알페온 등</t>
    </r>
  </si>
  <si>
    <r>
      <rPr>
        <sz val="10"/>
        <rFont val="Noto Sans CJK SC"/>
        <family val="2"/>
      </rPr>
      <t xml:space="preserve">대형 </t>
    </r>
    <r>
      <rPr>
        <sz val="10"/>
        <rFont val="맑은 고딕"/>
        <family val="3"/>
        <charset val="129"/>
      </rPr>
      <t>SUV</t>
    </r>
  </si>
  <si>
    <r>
      <rPr>
        <sz val="10"/>
        <rFont val="Noto Sans CJK SC"/>
        <family val="2"/>
      </rPr>
      <t>아이오닉</t>
    </r>
    <r>
      <rPr>
        <sz val="10"/>
        <rFont val="맑은 고딕"/>
        <family val="3"/>
        <charset val="129"/>
      </rPr>
      <t>5·</t>
    </r>
    <r>
      <rPr>
        <sz val="10"/>
        <rFont val="Noto Sans CJK SC"/>
        <family val="2"/>
      </rPr>
      <t>싼타페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쏘렌토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투산 등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</si>
  <si>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대형과 동일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</si>
  <si>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대형 </t>
    </r>
    <r>
      <rPr>
        <sz val="10"/>
        <rFont val="맑은 고딕"/>
        <family val="3"/>
        <charset val="129"/>
      </rPr>
      <t>RV</t>
    </r>
  </si>
  <si>
    <r>
      <rPr>
        <sz val="10"/>
        <rFont val="Noto Sans CJK SC"/>
        <family val="2"/>
      </rPr>
      <t>렉스턴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모하비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카니발 등</t>
    </r>
  </si>
  <si>
    <r>
      <rPr>
        <sz val="10"/>
        <rFont val="Noto Sans CJK SC"/>
        <family val="2"/>
      </rPr>
      <t>대형</t>
    </r>
    <r>
      <rPr>
        <sz val="10"/>
        <rFont val="맑은 고딕"/>
        <family val="3"/>
        <charset val="129"/>
      </rPr>
      <t>RV</t>
    </r>
  </si>
  <si>
    <t>초대형</t>
  </si>
  <si>
    <r>
      <rPr>
        <sz val="10"/>
        <rFont val="Noto Sans CJK SC"/>
        <family val="2"/>
      </rPr>
      <t>렉스턴스포츠 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스타리아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봉고</t>
    </r>
    <r>
      <rPr>
        <sz val="10"/>
        <rFont val="맑은 고딕"/>
        <family val="3"/>
        <charset val="129"/>
      </rPr>
      <t xml:space="preserve">3 </t>
    </r>
    <r>
      <rPr>
        <sz val="10"/>
        <rFont val="Noto Sans CJK SC"/>
        <family val="2"/>
      </rPr>
      <t>등</t>
    </r>
  </si>
  <si>
    <t>수입 소형</t>
  </si>
  <si>
    <t>수입 중형</t>
  </si>
  <si>
    <r>
      <rPr>
        <sz val="10"/>
        <rFont val="Noto Sans CJK SC"/>
        <family val="2"/>
      </rPr>
      <t>수입 대형</t>
    </r>
    <r>
      <rPr>
        <sz val="10"/>
        <rFont val="맑은 고딕"/>
        <family val="3"/>
        <charset val="129"/>
      </rPr>
      <t>/SUV</t>
    </r>
  </si>
  <si>
    <r>
      <rPr>
        <sz val="10"/>
        <rFont val="Noto Sans CJK SC"/>
        <family val="2"/>
      </rPr>
      <t>수입 초대형</t>
    </r>
    <r>
      <rPr>
        <sz val="10"/>
        <rFont val="맑은 고딕"/>
        <family val="3"/>
        <charset val="129"/>
      </rPr>
      <t>/SUV</t>
    </r>
  </si>
  <si>
    <r>
      <rPr>
        <sz val="10"/>
        <rFont val="Noto Sans CJK SC"/>
        <family val="2"/>
      </rPr>
      <t>수입 픽업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밴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</si>
  <si>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톤 트럭 공차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</si>
  <si>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톤공차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</si>
  <si>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톤 트럭 영차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</si>
  <si>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톤영차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</si>
  <si>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 xml:space="preserve">100cc </t>
    </r>
    <r>
      <rPr>
        <sz val="10"/>
        <rFont val="Noto Sans CJK SC"/>
        <family val="2"/>
      </rPr>
      <t>이하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</si>
  <si>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>101~200cc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</si>
  <si>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>201~400cc</t>
    </r>
  </si>
  <si>
    <r>
      <rPr>
        <sz val="10"/>
        <rFont val="Noto Sans CJK SC"/>
        <family val="2"/>
      </rPr>
      <t>이륜</t>
    </r>
    <r>
      <rPr>
        <sz val="10"/>
        <rFont val="맑은 고딕"/>
        <family val="3"/>
        <charset val="129"/>
      </rPr>
      <t>(~400cc)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</si>
  <si>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>401~600cc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</si>
  <si>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>601~800cc</t>
    </r>
  </si>
  <si>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 xml:space="preserve">801cc </t>
    </r>
    <r>
      <rPr>
        <sz val="10"/>
        <rFont val="Noto Sans CJK SC"/>
        <family val="2"/>
      </rPr>
      <t>이상</t>
    </r>
  </si>
  <si>
    <r>
      <rPr>
        <sz val="10"/>
        <rFont val="Noto Sans CJK SC"/>
        <family val="2"/>
      </rPr>
      <t>캐러밴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트레일러</t>
    </r>
  </si>
  <si>
    <r>
      <rPr>
        <sz val="10"/>
        <rFont val="Noto Sans CJK SC"/>
        <family val="2"/>
      </rPr>
      <t>진도</t>
    </r>
    <r>
      <rPr>
        <sz val="10"/>
        <rFont val="맑은 고딕"/>
        <family val="3"/>
        <charset val="129"/>
      </rPr>
      <t>-</t>
    </r>
    <r>
      <rPr>
        <sz val="10"/>
        <rFont val="Noto Sans CJK SC"/>
        <family val="2"/>
      </rPr>
      <t>제주 노선 불가</t>
    </r>
  </si>
  <si>
    <t>불가</t>
  </si>
  <si>
    <t>캠퍼트레일러</t>
  </si>
  <si>
    <t>사전 문의 후 예약</t>
  </si>
  <si>
    <r>
      <rPr>
        <sz val="10"/>
        <rFont val="Noto Sans CJK SC"/>
        <family val="2"/>
      </rPr>
      <t xml:space="preserve">★ 케이스 수입 산정에는 </t>
    </r>
    <r>
      <rPr>
        <sz val="10"/>
        <rFont val="맑은 고딕"/>
        <family val="3"/>
        <charset val="129"/>
      </rPr>
      <t>"</t>
    </r>
    <r>
      <rPr>
        <sz val="10"/>
        <rFont val="Noto Sans CJK SC"/>
        <family val="2"/>
      </rPr>
      <t>월</t>
    </r>
    <r>
      <rPr>
        <sz val="10"/>
        <rFont val="맑은 고딕"/>
        <family val="3"/>
        <charset val="129"/>
      </rPr>
      <t>~</t>
    </r>
    <r>
      <rPr>
        <sz val="10"/>
        <rFont val="Noto Sans CJK SC"/>
        <family val="2"/>
      </rPr>
      <t>토 일반가</t>
    </r>
    <r>
      <rPr>
        <sz val="10"/>
        <rFont val="맑은 고딕"/>
        <family val="3"/>
        <charset val="129"/>
      </rPr>
      <t xml:space="preserve">" </t>
    </r>
    <r>
      <rPr>
        <sz val="10"/>
        <rFont val="Noto Sans CJK SC"/>
        <family val="2"/>
      </rPr>
      <t>적용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캐러밴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캠퍼트레일러는 진도</t>
    </r>
    <r>
      <rPr>
        <sz val="10"/>
        <rFont val="맑은 고딕"/>
        <family val="3"/>
        <charset val="129"/>
      </rPr>
      <t>-</t>
    </r>
    <r>
      <rPr>
        <sz val="10"/>
        <rFont val="Noto Sans CJK SC"/>
        <family val="2"/>
      </rPr>
      <t>제주 노선 불가 항목이라 운임 미산정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일반화물은 차량 운임표에 없어 별도 협의 항목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미산정</t>
    </r>
    <r>
      <rPr>
        <sz val="10"/>
        <rFont val="맑은 고딕"/>
        <family val="3"/>
        <charset val="129"/>
      </rPr>
      <t>).</t>
    </r>
  </si>
  <si>
    <r>
      <rPr>
        <b/>
        <sz val="11"/>
        <rFont val="맑은 고딕"/>
        <family val="3"/>
        <charset val="129"/>
      </rPr>
      <t xml:space="preserve">4. </t>
    </r>
    <r>
      <rPr>
        <b/>
        <sz val="11"/>
        <rFont val="Noto Sans CJK SC"/>
        <family val="2"/>
      </rPr>
      <t xml:space="preserve">산타모니카호 적재 케이스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 xml:space="preserve">운항관리규정 </t>
    </r>
    <r>
      <rPr>
        <b/>
        <sz val="11"/>
        <rFont val="맑은 고딕"/>
        <family val="3"/>
        <charset val="129"/>
      </rPr>
      <t xml:space="preserve">29p · Loading Conditions) → </t>
    </r>
    <r>
      <rPr>
        <b/>
        <sz val="11"/>
        <rFont val="Noto Sans CJK SC"/>
        <family val="2"/>
      </rPr>
      <t>항차당 최대 차량 운임 수입</t>
    </r>
  </si>
  <si>
    <t>케이스</t>
  </si>
  <si>
    <r>
      <rPr>
        <b/>
        <sz val="10"/>
        <rFont val="Noto Sans CJK SC"/>
        <family val="2"/>
      </rPr>
      <t>적재</t>
    </r>
    <r>
      <rPr>
        <b/>
        <sz val="10"/>
        <rFont val="맑은 고딕"/>
        <family val="3"/>
        <charset val="129"/>
      </rPr>
      <t>(t)</t>
    </r>
  </si>
  <si>
    <t>구성</t>
  </si>
  <si>
    <r>
      <rPr>
        <b/>
        <sz val="10"/>
        <rFont val="Noto Sans CJK SC"/>
        <family val="2"/>
      </rPr>
      <t>대형</t>
    </r>
    <r>
      <rPr>
        <b/>
        <sz val="10"/>
        <rFont val="맑은 고딕"/>
        <family val="3"/>
        <charset val="129"/>
      </rPr>
      <t>RV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</si>
  <si>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톤공차</t>
    </r>
  </si>
  <si>
    <r>
      <rPr>
        <b/>
        <sz val="10"/>
        <rFont val="맑은 고딕"/>
        <family val="3"/>
        <charset val="129"/>
      </rPr>
      <t>1</t>
    </r>
    <r>
      <rPr>
        <b/>
        <sz val="10"/>
        <rFont val="Noto Sans CJK SC"/>
        <family val="2"/>
      </rPr>
      <t>톤영차</t>
    </r>
  </si>
  <si>
    <r>
      <rPr>
        <b/>
        <sz val="10"/>
        <rFont val="Noto Sans CJK SC"/>
        <family val="2"/>
      </rPr>
      <t>이륜</t>
    </r>
    <r>
      <rPr>
        <b/>
        <sz val="10"/>
        <rFont val="맑은 고딕"/>
        <family val="3"/>
        <charset val="129"/>
      </rPr>
      <t>(~400cc)</t>
    </r>
  </si>
  <si>
    <r>
      <rPr>
        <b/>
        <sz val="10"/>
        <rFont val="Noto Sans CJK SC"/>
        <family val="2"/>
      </rPr>
      <t>항차당 수입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원</t>
    </r>
    <r>
      <rPr>
        <b/>
        <sz val="10"/>
        <rFont val="맑은 고딕"/>
        <family val="3"/>
        <charset val="129"/>
      </rPr>
      <t>)</t>
    </r>
  </si>
  <si>
    <t>운임 미산정 항목</t>
  </si>
  <si>
    <r>
      <rPr>
        <b/>
        <sz val="10"/>
        <rFont val="Noto Sans CJK SC"/>
        <family val="2"/>
      </rPr>
      <t xml:space="preserve">적용 운임 </t>
    </r>
    <r>
      <rPr>
        <b/>
        <sz val="10"/>
        <rFont val="맑은 고딕"/>
        <family val="3"/>
        <charset val="129"/>
      </rPr>
      <t>(</t>
    </r>
    <r>
      <rPr>
        <b/>
        <sz val="10"/>
        <rFont val="Noto Sans CJK SC"/>
        <family val="2"/>
      </rPr>
      <t>월</t>
    </r>
    <r>
      <rPr>
        <b/>
        <sz val="10"/>
        <rFont val="맑은 고딕"/>
        <family val="3"/>
        <charset val="129"/>
      </rPr>
      <t>~</t>
    </r>
    <r>
      <rPr>
        <b/>
        <sz val="10"/>
        <rFont val="Noto Sans CJK SC"/>
        <family val="2"/>
      </rPr>
      <t>토 일반</t>
    </r>
    <r>
      <rPr>
        <b/>
        <sz val="10"/>
        <rFont val="맑은 고딕"/>
        <family val="3"/>
        <charset val="129"/>
      </rPr>
      <t>) →</t>
    </r>
  </si>
  <si>
    <r>
      <rPr>
        <sz val="10"/>
        <rFont val="Noto Sans CJK SC"/>
        <family val="2"/>
      </rPr>
      <t xml:space="preserve">대형차 </t>
    </r>
    <r>
      <rPr>
        <sz val="10"/>
        <rFont val="맑은 고딕"/>
        <family val="3"/>
        <charset val="129"/>
      </rPr>
      <t xml:space="preserve">46 · </t>
    </r>
    <r>
      <rPr>
        <sz val="10"/>
        <rFont val="Noto Sans CJK SC"/>
        <family val="2"/>
      </rPr>
      <t xml:space="preserve">소형 </t>
    </r>
    <r>
      <rPr>
        <sz val="10"/>
        <rFont val="맑은 고딕"/>
        <family val="3"/>
        <charset val="129"/>
      </rPr>
      <t xml:space="preserve">4 · </t>
    </r>
    <r>
      <rPr>
        <sz val="10"/>
        <rFont val="Noto Sans CJK SC"/>
        <family val="2"/>
      </rPr>
      <t xml:space="preserve">이륜차 </t>
    </r>
    <r>
      <rPr>
        <sz val="10"/>
        <rFont val="맑은 고딕"/>
        <family val="3"/>
        <charset val="129"/>
      </rPr>
      <t xml:space="preserve">14 · </t>
    </r>
    <r>
      <rPr>
        <sz val="10"/>
        <rFont val="Noto Sans CJK SC"/>
        <family val="2"/>
      </rPr>
      <t>일반화물</t>
    </r>
  </si>
  <si>
    <r>
      <rPr>
        <sz val="10"/>
        <rFont val="Noto Sans CJK SC"/>
        <family val="2"/>
      </rPr>
      <t xml:space="preserve">일반화물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단위 — 운임 별도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미산정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</si>
  <si>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중형차 </t>
    </r>
    <r>
      <rPr>
        <sz val="10"/>
        <rFont val="맑은 고딕"/>
        <family val="3"/>
        <charset val="129"/>
      </rPr>
      <t xml:space="preserve">53 · </t>
    </r>
    <r>
      <rPr>
        <sz val="10"/>
        <rFont val="Noto Sans CJK SC"/>
        <family val="2"/>
      </rPr>
      <t xml:space="preserve">소형 </t>
    </r>
    <r>
      <rPr>
        <sz val="10"/>
        <rFont val="맑은 고딕"/>
        <family val="3"/>
        <charset val="129"/>
      </rPr>
      <t xml:space="preserve">4 · </t>
    </r>
    <r>
      <rPr>
        <sz val="10"/>
        <rFont val="Noto Sans CJK SC"/>
        <family val="2"/>
      </rPr>
      <t xml:space="preserve">이륜차 </t>
    </r>
    <r>
      <rPr>
        <sz val="10"/>
        <rFont val="맑은 고딕"/>
        <family val="3"/>
        <charset val="129"/>
      </rPr>
      <t xml:space="preserve">14 · </t>
    </r>
    <r>
      <rPr>
        <sz val="10"/>
        <rFont val="Noto Sans CJK SC"/>
        <family val="2"/>
      </rPr>
      <t>일반화물</t>
    </r>
  </si>
  <si>
    <r>
      <rPr>
        <sz val="10"/>
        <rFont val="Noto Sans CJK SC"/>
        <family val="2"/>
      </rPr>
      <t xml:space="preserve">소형차 </t>
    </r>
    <r>
      <rPr>
        <sz val="10"/>
        <rFont val="맑은 고딕"/>
        <family val="3"/>
        <charset val="129"/>
      </rPr>
      <t xml:space="preserve">79 · </t>
    </r>
    <r>
      <rPr>
        <sz val="10"/>
        <rFont val="Noto Sans CJK SC"/>
        <family val="2"/>
      </rPr>
      <t xml:space="preserve">이륜차 </t>
    </r>
    <r>
      <rPr>
        <sz val="10"/>
        <rFont val="맑은 고딕"/>
        <family val="3"/>
        <charset val="129"/>
      </rPr>
      <t xml:space="preserve">14 · </t>
    </r>
    <r>
      <rPr>
        <sz val="10"/>
        <rFont val="Noto Sans CJK SC"/>
        <family val="2"/>
      </rPr>
      <t>일반화물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</si>
  <si>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톤트럭 </t>
    </r>
    <r>
      <rPr>
        <sz val="10"/>
        <rFont val="맑은 고딕"/>
        <family val="3"/>
        <charset val="129"/>
      </rPr>
      <t xml:space="preserve">38 · </t>
    </r>
    <r>
      <rPr>
        <sz val="10"/>
        <rFont val="Noto Sans CJK SC"/>
        <family val="2"/>
      </rPr>
      <t xml:space="preserve">소형 </t>
    </r>
    <r>
      <rPr>
        <sz val="10"/>
        <rFont val="맑은 고딕"/>
        <family val="3"/>
        <charset val="129"/>
      </rPr>
      <t xml:space="preserve">4 · </t>
    </r>
    <r>
      <rPr>
        <sz val="10"/>
        <rFont val="Noto Sans CJK SC"/>
        <family val="2"/>
      </rPr>
      <t xml:space="preserve">캐러밴 </t>
    </r>
    <r>
      <rPr>
        <sz val="10"/>
        <rFont val="맑은 고딕"/>
        <family val="3"/>
        <charset val="129"/>
      </rPr>
      <t xml:space="preserve">20 · </t>
    </r>
    <r>
      <rPr>
        <sz val="10"/>
        <rFont val="Noto Sans CJK SC"/>
        <family val="2"/>
      </rPr>
      <t>일반화물 ★최대</t>
    </r>
  </si>
  <si>
    <r>
      <rPr>
        <sz val="10"/>
        <rFont val="Noto Sans CJK SC"/>
        <family val="2"/>
      </rPr>
      <t xml:space="preserve">캐러밴 </t>
    </r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일반화물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단위 — 운임 별도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미산정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</si>
  <si>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캠퍼트레일러 </t>
    </r>
    <r>
      <rPr>
        <sz val="10"/>
        <rFont val="맑은 고딕"/>
        <family val="3"/>
        <charset val="129"/>
      </rPr>
      <t>10 · 1</t>
    </r>
    <r>
      <rPr>
        <sz val="10"/>
        <rFont val="Noto Sans CJK SC"/>
        <family val="2"/>
      </rPr>
      <t xml:space="preserve">톤트럭 </t>
    </r>
    <r>
      <rPr>
        <sz val="10"/>
        <rFont val="맑은 고딕"/>
        <family val="3"/>
        <charset val="129"/>
      </rPr>
      <t xml:space="preserve">5 · </t>
    </r>
    <r>
      <rPr>
        <sz val="10"/>
        <rFont val="Noto Sans CJK SC"/>
        <family val="2"/>
      </rPr>
      <t xml:space="preserve">대형 </t>
    </r>
    <r>
      <rPr>
        <sz val="10"/>
        <rFont val="맑은 고딕"/>
        <family val="3"/>
        <charset val="129"/>
      </rPr>
      <t xml:space="preserve">3 · </t>
    </r>
    <r>
      <rPr>
        <sz val="10"/>
        <rFont val="Noto Sans CJK SC"/>
        <family val="2"/>
      </rPr>
      <t xml:space="preserve">이륜 </t>
    </r>
    <r>
      <rPr>
        <sz val="10"/>
        <rFont val="맑은 고딕"/>
        <family val="3"/>
        <charset val="129"/>
      </rPr>
      <t xml:space="preserve">6 · </t>
    </r>
    <r>
      <rPr>
        <sz val="10"/>
        <rFont val="Noto Sans CJK SC"/>
        <family val="2"/>
      </rPr>
      <t>화물</t>
    </r>
  </si>
  <si>
    <r>
      <rPr>
        <sz val="10"/>
        <rFont val="Noto Sans CJK SC"/>
        <family val="2"/>
      </rPr>
      <t xml:space="preserve">캠퍼트레일러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일반화물 — 운임 별도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미산정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</si>
  <si>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차량 중량 역산 검증</t>
    </r>
    <r>
      <rPr>
        <sz val="10"/>
        <rFont val="맑은 고딕"/>
        <family val="3"/>
        <charset val="129"/>
      </rPr>
      <t xml:space="preserve">: Case 2 </t>
    </r>
    <r>
      <rPr>
        <sz val="10"/>
        <rFont val="Noto Sans CJK SC"/>
        <family val="2"/>
      </rPr>
      <t xml:space="preserve">중형 </t>
    </r>
    <r>
      <rPr>
        <sz val="10"/>
        <rFont val="맑은 고딕"/>
        <family val="3"/>
        <charset val="129"/>
      </rPr>
      <t>53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3"/>
        <charset val="129"/>
      </rPr>
      <t xml:space="preserve">× 1.607t = 85.171t → </t>
    </r>
    <r>
      <rPr>
        <sz val="10"/>
        <rFont val="Noto Sans CJK SC"/>
        <family val="2"/>
      </rPr>
      <t xml:space="preserve">총계 </t>
    </r>
    <r>
      <rPr>
        <sz val="10"/>
        <rFont val="맑은 고딕"/>
        <family val="3"/>
        <charset val="129"/>
      </rPr>
      <t xml:space="preserve">111.563t </t>
    </r>
    <r>
      <rPr>
        <sz val="10"/>
        <rFont val="Noto Sans CJK SC"/>
        <family val="2"/>
      </rPr>
      <t>일치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운임표에 요금이 있는 차종만 집계 — 미산정 항목은 대조 손익계산서에서 </t>
    </r>
    <r>
      <rPr>
        <sz val="10"/>
        <rFont val="맑은 고딕"/>
        <family val="3"/>
        <charset val="129"/>
      </rPr>
      <t>"+α"(</t>
    </r>
    <r>
      <rPr>
        <sz val="10"/>
        <rFont val="Noto Sans CJK SC"/>
        <family val="2"/>
      </rPr>
      <t>이익 여분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로 본다</t>
    </r>
    <r>
      <rPr>
        <sz val="10"/>
        <rFont val="맑은 고딕"/>
        <family val="3"/>
        <charset val="129"/>
      </rPr>
      <t>.</t>
    </r>
  </si>
  <si>
    <r>
      <rPr>
        <b/>
        <sz val="16"/>
        <rFont val="Noto Sans CJK SC"/>
        <family val="2"/>
      </rPr>
      <t xml:space="preserve">검산 — 보고서 내부 정합성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계산 경로 일치</t>
    </r>
  </si>
  <si>
    <r>
      <rPr>
        <sz val="10"/>
        <rFont val="Noto Sans CJK SC"/>
        <family val="2"/>
      </rPr>
      <t xml:space="preserve">주석은 천원 공시 → </t>
    </r>
    <r>
      <rPr>
        <sz val="10"/>
        <rFont val="맑은 고딕"/>
        <family val="3"/>
        <charset val="129"/>
      </rPr>
      <t>±1,000</t>
    </r>
    <r>
      <rPr>
        <sz val="10"/>
        <rFont val="Noto Sans CJK SC"/>
        <family val="2"/>
      </rPr>
      <t>원은 반올림 차이로 정상</t>
    </r>
  </si>
  <si>
    <t>검증 항목</t>
  </si>
  <si>
    <t>계산값</t>
  </si>
  <si>
    <r>
      <rPr>
        <b/>
        <sz val="10"/>
        <rFont val="Noto Sans CJK SC"/>
        <family val="2"/>
      </rPr>
      <t xml:space="preserve">보고서 기재 </t>
    </r>
    <r>
      <rPr>
        <b/>
        <sz val="10"/>
        <rFont val="맑은 고딕"/>
        <family val="3"/>
        <charset val="129"/>
      </rPr>
      <t xml:space="preserve">/ </t>
    </r>
    <r>
      <rPr>
        <b/>
        <sz val="10"/>
        <rFont val="Noto Sans CJK SC"/>
        <family val="2"/>
      </rPr>
      <t>비교값</t>
    </r>
  </si>
  <si>
    <t>차이</t>
  </si>
  <si>
    <r>
      <rPr>
        <sz val="10"/>
        <rFont val="Noto Sans CJK SC"/>
        <family val="2"/>
      </rPr>
      <t xml:space="preserve">급여 합계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판관 직원급여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운항 급여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</si>
  <si>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퇴직급여 합계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판관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운항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</si>
  <si>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복리후생비 합계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판관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운항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</si>
  <si>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전사 인건비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과목 합계</t>
    </r>
  </si>
  <si>
    <t>판관비 세부과목 합계</t>
  </si>
  <si>
    <t>손익계산서 Ⅳ 기재</t>
  </si>
  <si>
    <t>매출 세부 합계</t>
  </si>
  <si>
    <t>손익계산서 Ⅰ 기재</t>
  </si>
  <si>
    <r>
      <rPr>
        <sz val="10"/>
        <rFont val="Noto Sans CJK SC"/>
        <family val="2"/>
      </rPr>
      <t xml:space="preserve">운항원가 세부 합계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15 ×1,000 + </t>
    </r>
    <r>
      <rPr>
        <sz val="10"/>
        <rFont val="Noto Sans CJK SC"/>
        <family val="2"/>
      </rPr>
      <t>차액</t>
    </r>
    <r>
      <rPr>
        <sz val="10"/>
        <rFont val="맑은 고딕"/>
        <family val="3"/>
        <charset val="129"/>
      </rPr>
      <t>)</t>
    </r>
  </si>
  <si>
    <t>손익계산서 Ⅱ</t>
  </si>
  <si>
    <r>
      <rPr>
        <sz val="10"/>
        <rFont val="Noto Sans CJK SC"/>
        <family val="2"/>
      </rPr>
      <t xml:space="preserve">운항원가 세부 합계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전기</t>
    </r>
  </si>
  <si>
    <r>
      <rPr>
        <sz val="10"/>
        <rFont val="Noto Sans CJK SC"/>
        <family val="2"/>
      </rPr>
      <t xml:space="preserve">운항기타 세목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운항기타</t>
    </r>
  </si>
  <si>
    <t>가정 비율 정규화</t>
  </si>
  <si>
    <r>
      <rPr>
        <sz val="10"/>
        <rFont val="Noto Sans CJK SC"/>
        <family val="2"/>
      </rPr>
      <t xml:space="preserve">매출총이익 </t>
    </r>
    <r>
      <rPr>
        <sz val="10"/>
        <rFont val="맑은 고딕"/>
        <family val="3"/>
        <charset val="129"/>
      </rPr>
      <t>(Ⅰ − Ⅱ)</t>
    </r>
  </si>
  <si>
    <t>손익계산서 Ⅲ 기재</t>
  </si>
  <si>
    <r>
      <rPr>
        <sz val="10"/>
        <rFont val="Noto Sans CJK SC"/>
        <family val="2"/>
      </rPr>
      <t xml:space="preserve">영업손익 </t>
    </r>
    <r>
      <rPr>
        <sz val="10"/>
        <rFont val="맑은 고딕"/>
        <family val="3"/>
        <charset val="129"/>
      </rPr>
      <t>(Ⅲ − Ⅳ)</t>
    </r>
  </si>
  <si>
    <t>손익계산서 Ⅴ 기재</t>
  </si>
  <si>
    <t>영업외수익</t>
  </si>
  <si>
    <t>손익계산서 Ⅵ 기재</t>
  </si>
  <si>
    <t>영업외비용</t>
  </si>
  <si>
    <t>손익계산서 Ⅶ 기재</t>
  </si>
  <si>
    <t>법인세비용차감전순손실</t>
  </si>
  <si>
    <r>
      <rPr>
        <sz val="10"/>
        <rFont val="Noto Sans CJK SC"/>
        <family val="2"/>
      </rPr>
      <t xml:space="preserve">손익계산서 Ⅷ 기재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순손실</t>
    </r>
    <r>
      <rPr>
        <sz val="10"/>
        <rFont val="맑은 고딕"/>
        <family val="3"/>
        <charset val="129"/>
      </rPr>
      <t>)</t>
    </r>
  </si>
  <si>
    <t>당기순손실</t>
  </si>
  <si>
    <r>
      <rPr>
        <sz val="10"/>
        <rFont val="Noto Sans CJK SC"/>
        <family val="2"/>
      </rPr>
      <t xml:space="preserve">손익계산서 Ⅹ 기재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순손실</t>
    </r>
    <r>
      <rPr>
        <sz val="10"/>
        <rFont val="맑은 고딕"/>
        <family val="3"/>
        <charset val="129"/>
      </rPr>
      <t>)</t>
    </r>
  </si>
  <si>
    <t>전기 영업손익</t>
  </si>
  <si>
    <r>
      <rPr>
        <sz val="10"/>
        <rFont val="Noto Sans CJK SC"/>
        <family val="2"/>
      </rPr>
      <t>제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기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감사받지 아니함</t>
    </r>
    <r>
      <rPr>
        <sz val="10"/>
        <rFont val="맑은 고딕"/>
        <family val="3"/>
        <charset val="129"/>
      </rPr>
      <t>)</t>
    </r>
  </si>
  <si>
    <t>전기 당기순손실</t>
  </si>
  <si>
    <r>
      <rPr>
        <sz val="10"/>
        <rFont val="Noto Sans CJK SC"/>
        <family val="2"/>
      </rPr>
      <t>제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기</t>
    </r>
  </si>
  <si>
    <r>
      <rPr>
        <sz val="10"/>
        <rFont val="맑은 고딕"/>
        <family val="3"/>
        <charset val="129"/>
      </rPr>
      <t xml:space="preserve">EBITDA (Ⅴ +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>)</t>
    </r>
  </si>
  <si>
    <t>보완 행</t>
  </si>
  <si>
    <r>
      <rPr>
        <sz val="10"/>
        <rFont val="Noto Sans CJK SC"/>
        <family val="2"/>
      </rPr>
      <t xml:space="preserve">조정 소계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순손익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이자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법인세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</si>
  <si>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조정 후 </t>
    </r>
    <r>
      <rPr>
        <sz val="10"/>
        <rFont val="맑은 고딕"/>
        <family val="3"/>
        <charset val="129"/>
      </rPr>
      <t xml:space="preserve">EBITDA = Ⅴ </t>
    </r>
    <r>
      <rPr>
        <sz val="10"/>
        <rFont val="Noto Sans CJK SC"/>
        <family val="2"/>
      </rPr>
      <t xml:space="preserve">기준 </t>
    </r>
    <r>
      <rPr>
        <sz val="10"/>
        <rFont val="맑은 고딕"/>
        <family val="3"/>
        <charset val="129"/>
      </rPr>
      <t>EBITDA</t>
    </r>
  </si>
  <si>
    <t>두 경로 일치</t>
  </si>
  <si>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손익계산서 영업이익 </t>
    </r>
    <r>
      <rPr>
        <sz val="10"/>
        <rFont val="맑은 고딕"/>
        <family val="3"/>
        <charset val="129"/>
      </rPr>
      <t xml:space="preserve">= CVP </t>
    </r>
    <r>
      <rPr>
        <sz val="10"/>
        <rFont val="Noto Sans CJK SC"/>
        <family val="2"/>
      </rPr>
      <t xml:space="preserve">모형 영업이익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현재 승객수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</si>
  <si>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모든 원가 포함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기본 성격일 때 일치</t>
    </r>
  </si>
  <si>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>: 10</t>
    </r>
    <r>
      <rPr>
        <sz val="10"/>
        <rFont val="Noto Sans CJK SC"/>
        <family val="2"/>
      </rPr>
      <t xml:space="preserve">개년 </t>
    </r>
    <r>
      <rPr>
        <sz val="10"/>
        <rFont val="맑은 고딕"/>
        <family val="3"/>
        <charset val="129"/>
      </rPr>
      <t xml:space="preserve">y+0 </t>
    </r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단일연도 영업이익 − 선체이자</t>
    </r>
  </si>
  <si>
    <t>선체이자 운항원가 반영</t>
  </si>
  <si>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>: 10</t>
    </r>
    <r>
      <rPr>
        <sz val="10"/>
        <rFont val="Noto Sans CJK SC"/>
        <family val="2"/>
      </rPr>
      <t xml:space="preserve">개년 </t>
    </r>
    <r>
      <rPr>
        <sz val="10"/>
        <rFont val="맑은 고딕"/>
        <family val="3"/>
        <charset val="129"/>
      </rPr>
      <t xml:space="preserve">y+0 </t>
    </r>
    <r>
      <rPr>
        <sz val="10"/>
        <rFont val="Noto Sans CJK SC"/>
        <family val="2"/>
      </rPr>
      <t xml:space="preserve">매출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단일연도 매출</t>
    </r>
  </si>
  <si>
    <r>
      <rPr>
        <sz val="10"/>
        <rFont val="Noto Sans CJK SC"/>
        <family val="2"/>
      </rPr>
      <t>대조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운항기타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세목 합계</t>
    </r>
  </si>
  <si>
    <r>
      <rPr>
        <sz val="10"/>
        <rFont val="Noto Sans CJK SC"/>
        <family val="2"/>
      </rPr>
      <t xml:space="preserve">차입금 스케줄 원금 합계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>차입금</t>
    </r>
  </si>
  <si>
    <r>
      <rPr>
        <sz val="10"/>
        <rFont val="Noto Sans CJK SC"/>
        <family val="2"/>
      </rPr>
      <t xml:space="preserve">상환기간 ≤ </t>
    </r>
    <r>
      <rPr>
        <sz val="10"/>
        <rFont val="맑은 고딕"/>
        <family val="3"/>
        <charset val="129"/>
      </rPr>
      <t>40</t>
    </r>
    <r>
      <rPr>
        <sz val="10"/>
        <rFont val="Noto Sans CJK SC"/>
        <family val="2"/>
      </rPr>
      <t>년</t>
    </r>
  </si>
  <si>
    <t>전체 판정</t>
  </si>
  <si>
    <r>
      <rPr>
        <b/>
        <sz val="16"/>
        <rFont val="Noto Sans CJK SC"/>
        <family val="2"/>
      </rPr>
      <t xml:space="preserve">한계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 xml:space="preserve">자료 출처 </t>
    </r>
    <r>
      <rPr>
        <b/>
        <sz val="16"/>
        <rFont val="맑은 고딕"/>
        <family val="3"/>
        <charset val="129"/>
      </rPr>
      <t xml:space="preserve">· </t>
    </r>
    <r>
      <rPr>
        <b/>
        <sz val="16"/>
        <rFont val="Noto Sans CJK SC"/>
        <family val="2"/>
      </rPr>
      <t>용어</t>
    </r>
  </si>
  <si>
    <r>
      <rPr>
        <sz val="10"/>
        <rFont val="Noto Sans CJK SC"/>
        <family val="2"/>
      </rPr>
      <t>이 분석이 말하지 않는 것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그리고 무엇으로 말하는가</t>
    </r>
  </si>
  <si>
    <r>
      <rPr>
        <b/>
        <sz val="11"/>
        <rFont val="맑은 고딕"/>
        <family val="3"/>
        <charset val="129"/>
      </rPr>
      <t xml:space="preserve">1. </t>
    </r>
    <r>
      <rPr>
        <b/>
        <sz val="11"/>
        <rFont val="Noto Sans CJK SC"/>
        <family val="2"/>
      </rPr>
      <t>한계 — 왜 이 표본 하나인가</t>
    </r>
  </si>
  <si>
    <t>내용</t>
  </si>
  <si>
    <r>
      <rPr>
        <b/>
        <sz val="10"/>
        <rFont val="Noto Sans CJK SC"/>
        <family val="2"/>
      </rPr>
      <t xml:space="preserve">표본 기간 — </t>
    </r>
    <r>
      <rPr>
        <b/>
        <sz val="10"/>
        <rFont val="맑은 고딕"/>
        <family val="3"/>
        <charset val="129"/>
      </rPr>
      <t>2024</t>
    </r>
    <r>
      <rPr>
        <b/>
        <sz val="10"/>
        <rFont val="Noto Sans CJK SC"/>
        <family val="2"/>
      </rPr>
      <t>년 한 해</t>
    </r>
  </si>
  <si>
    <r>
      <rPr>
        <sz val="10"/>
        <rFont val="Noto Sans CJK SC"/>
        <family val="2"/>
      </rPr>
      <t>정상 운항 연간 실적은 제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기</t>
    </r>
    <r>
      <rPr>
        <sz val="10"/>
        <rFont val="맑은 고딕"/>
        <family val="3"/>
        <charset val="129"/>
      </rPr>
      <t xml:space="preserve">(2024) </t>
    </r>
    <r>
      <rPr>
        <sz val="10"/>
        <rFont val="Noto Sans CJK SC"/>
        <family val="2"/>
      </rPr>
      <t>하나다</t>
    </r>
    <r>
      <rPr>
        <sz val="10"/>
        <rFont val="맑은 고딕"/>
        <family val="3"/>
        <charset val="129"/>
      </rPr>
      <t>. 2025</t>
    </r>
    <r>
      <rPr>
        <sz val="10"/>
        <rFont val="Noto Sans CJK SC"/>
        <family val="2"/>
      </rPr>
      <t>년은 울릉군 결손금 지급 지연 → 회생 신청</t>
    </r>
    <r>
      <rPr>
        <sz val="10"/>
        <rFont val="맑은 고딕"/>
        <family val="3"/>
        <charset val="129"/>
      </rPr>
      <t xml:space="preserve">(2025.01) → </t>
    </r>
    <r>
      <rPr>
        <sz val="10"/>
        <rFont val="Noto Sans CJK SC"/>
        <family val="2"/>
      </rPr>
      <t>개시</t>
    </r>
    <r>
      <rPr>
        <sz val="10"/>
        <rFont val="맑은 고딕"/>
        <family val="3"/>
        <charset val="129"/>
      </rPr>
      <t xml:space="preserve">(02.20) → </t>
    </r>
    <r>
      <rPr>
        <sz val="10"/>
        <rFont val="Noto Sans CJK SC"/>
        <family val="2"/>
      </rPr>
      <t>인가</t>
    </r>
    <r>
      <rPr>
        <sz val="10"/>
        <rFont val="맑은 고딕"/>
        <family val="3"/>
        <charset val="129"/>
      </rPr>
      <t xml:space="preserve">(2026.06.23) → </t>
    </r>
    <r>
      <rPr>
        <sz val="10"/>
        <rFont val="Noto Sans CJK SC"/>
        <family val="2"/>
      </rPr>
      <t>종결</t>
    </r>
    <r>
      <rPr>
        <sz val="10"/>
        <rFont val="맑은 고딕"/>
        <family val="3"/>
        <charset val="129"/>
      </rPr>
      <t>(09.01)</t>
    </r>
    <r>
      <rPr>
        <sz val="10"/>
        <rFont val="Noto Sans CJK SC"/>
        <family val="2"/>
      </rPr>
      <t>의 비정상 구간이라 쓰지 않았다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</si>
  <si>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아시아경제 </t>
    </r>
    <r>
      <rPr>
        <sz val="10"/>
        <rFont val="맑은 고딕"/>
        <family val="3"/>
        <charset val="129"/>
      </rPr>
      <t xml:space="preserve">https://www.asiae.co.kr/article/2025060110584999063 · </t>
    </r>
    <r>
      <rPr>
        <sz val="10"/>
        <rFont val="Noto Sans CJK SC"/>
        <family val="2"/>
      </rPr>
      <t xml:space="preserve">아주경제 </t>
    </r>
    <r>
      <rPr>
        <sz val="10"/>
        <rFont val="맑은 고딕"/>
        <family val="3"/>
        <charset val="129"/>
      </rPr>
      <t>https://www.ajunews.com/view/20260902140349550</t>
    </r>
  </si>
  <si>
    <r>
      <rPr>
        <b/>
        <sz val="10"/>
        <rFont val="Noto Sans CJK SC"/>
        <family val="2"/>
      </rPr>
      <t xml:space="preserve">외형 적자의 구조 — 감가상각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이자</t>
    </r>
  </si>
  <si>
    <r>
      <rPr>
        <sz val="10"/>
        <rFont val="Noto Sans CJK SC"/>
        <family val="2"/>
      </rPr>
      <t xml:space="preserve">선가 </t>
    </r>
    <r>
      <rPr>
        <sz val="10"/>
        <rFont val="맑은 고딕"/>
        <family val="3"/>
        <charset val="129"/>
      </rPr>
      <t>670</t>
    </r>
    <r>
      <rPr>
        <sz val="10"/>
        <rFont val="Noto Sans CJK SC"/>
        <family val="2"/>
      </rPr>
      <t xml:space="preserve">억 → 감가상각 </t>
    </r>
    <r>
      <rPr>
        <sz val="10"/>
        <rFont val="맑은 고딕"/>
        <family val="3"/>
        <charset val="129"/>
      </rPr>
      <t>3,349</t>
    </r>
    <r>
      <rPr>
        <sz val="10"/>
        <rFont val="Noto Sans CJK SC"/>
        <family val="2"/>
      </rPr>
      <t>백만 → 영업손익 △</t>
    </r>
    <r>
      <rPr>
        <sz val="10"/>
        <rFont val="맑은 고딕"/>
        <family val="3"/>
        <charset val="129"/>
      </rPr>
      <t>2,080</t>
    </r>
    <r>
      <rPr>
        <sz val="10"/>
        <rFont val="Noto Sans CJK SC"/>
        <family val="2"/>
      </rPr>
      <t>백만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이자비용 </t>
    </r>
    <r>
      <rPr>
        <sz val="10"/>
        <rFont val="맑은 고딕"/>
        <family val="3"/>
        <charset val="129"/>
      </rPr>
      <t>4,009</t>
    </r>
    <r>
      <rPr>
        <sz val="10"/>
        <rFont val="Noto Sans CJK SC"/>
        <family val="2"/>
      </rPr>
      <t xml:space="preserve">백만이 얹혀 순손실 </t>
    </r>
    <r>
      <rPr>
        <sz val="10"/>
        <rFont val="맑은 고딕"/>
        <family val="3"/>
        <charset val="129"/>
      </rPr>
      <t>6,040</t>
    </r>
    <r>
      <rPr>
        <sz val="10"/>
        <rFont val="Noto Sans CJK SC"/>
        <family val="2"/>
      </rPr>
      <t>백만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감가상각을 되돌린 </t>
    </r>
    <r>
      <rPr>
        <sz val="10"/>
        <rFont val="맑은 고딕"/>
        <family val="3"/>
        <charset val="129"/>
      </rPr>
      <t>EBITDA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3"/>
        <charset val="129"/>
      </rPr>
      <t>+1,270</t>
    </r>
    <r>
      <rPr>
        <sz val="10"/>
        <rFont val="Noto Sans CJK SC"/>
        <family val="2"/>
      </rPr>
      <t>백만 — 현금 기준 흑자</t>
    </r>
    <r>
      <rPr>
        <sz val="10"/>
        <rFont val="맑은 고딕"/>
        <family val="3"/>
        <charset val="129"/>
      </rPr>
      <t>.</t>
    </r>
  </si>
  <si>
    <t>감사보고서</t>
  </si>
  <si>
    <t>수리비 — 미반영</t>
  </si>
  <si>
    <r>
      <rPr>
        <sz val="10"/>
        <rFont val="Noto Sans CJK SC"/>
        <family val="2"/>
      </rPr>
      <t>엘도라도호는 선령이 낮아 보증기간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보험금 청구로 처리돼 수리비가 잡히지 않았다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산타모니카호는 선령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 xml:space="preserve">년을 넘겨 곧 발생할 것으로 보이나 추정 근거가 없어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으로 두었다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실제 수리비가 붙으면 운항원가가 그만큼 올라간다</t>
    </r>
    <r>
      <rPr>
        <sz val="10"/>
        <rFont val="맑은 고딕"/>
        <family val="3"/>
        <charset val="129"/>
      </rPr>
      <t>.</t>
    </r>
  </si>
  <si>
    <r>
      <rPr>
        <b/>
        <sz val="10"/>
        <rFont val="Noto Sans CJK SC"/>
        <family val="2"/>
      </rPr>
      <t xml:space="preserve">지표 갱신 — </t>
    </r>
    <r>
      <rPr>
        <b/>
        <sz val="10"/>
        <rFont val="맑은 고딕"/>
        <family val="3"/>
        <charset val="129"/>
      </rPr>
      <t>2026</t>
    </r>
    <r>
      <rPr>
        <b/>
        <sz val="10"/>
        <rFont val="Noto Sans CJK SC"/>
        <family val="2"/>
      </rPr>
      <t>년 이후</t>
    </r>
  </si>
  <si>
    <r>
      <rPr>
        <sz val="10"/>
        <rFont val="Noto Sans CJK SC"/>
        <family val="2"/>
      </rPr>
      <t xml:space="preserve">결손금은 </t>
    </r>
    <r>
      <rPr>
        <sz val="10"/>
        <rFont val="맑은 고딕"/>
        <family val="3"/>
        <charset val="129"/>
      </rPr>
      <t>2024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3"/>
        <charset val="129"/>
      </rPr>
      <t>1~3</t>
    </r>
    <r>
      <rPr>
        <sz val="10"/>
        <rFont val="Noto Sans CJK SC"/>
        <family val="2"/>
      </rPr>
      <t xml:space="preserve">월분 지급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연간 고정지원금 전환으로 정리됐고 회생도 종결됐다</t>
    </r>
    <r>
      <rPr>
        <sz val="10"/>
        <rFont val="맑은 고딕"/>
        <family val="3"/>
        <charset val="129"/>
      </rPr>
      <t>. 2026</t>
    </r>
    <r>
      <rPr>
        <sz val="10"/>
        <rFont val="Noto Sans CJK SC"/>
        <family val="2"/>
      </rPr>
      <t>년 이후 실적이 쌓이면 그것을 기준선으로 바꾼다</t>
    </r>
    <r>
      <rPr>
        <sz val="10"/>
        <rFont val="맑은 고딕"/>
        <family val="3"/>
        <charset val="129"/>
      </rPr>
      <t>.</t>
    </r>
  </si>
  <si>
    <t>산타모니카호 — 현 항로 적자</t>
  </si>
  <si>
    <r>
      <rPr>
        <sz val="10"/>
        <rFont val="Noto Sans CJK SC"/>
        <family val="2"/>
      </rPr>
      <t xml:space="preserve">현재 제주–추자–진도 항로에서 연 약 </t>
    </r>
    <r>
      <rPr>
        <sz val="10"/>
        <rFont val="맑은 고딕"/>
        <family val="3"/>
        <charset val="129"/>
      </rPr>
      <t>18</t>
    </r>
    <r>
      <rPr>
        <sz val="10"/>
        <rFont val="Noto Sans CJK SC"/>
        <family val="2"/>
      </rPr>
      <t>억원 적자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엔젤호로 대체하려는 움직임이 있는 것으로 보인다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대조 선박은 이 배를 하카타 항로에 투입한다는 가정이지 지금의 운항 실적이 아니다</t>
    </r>
    <r>
      <rPr>
        <sz val="10"/>
        <rFont val="맑은 고딕"/>
        <family val="3"/>
        <charset val="129"/>
      </rPr>
      <t>.</t>
    </r>
  </si>
  <si>
    <t>기사 — 링크 미확보</t>
  </si>
  <si>
    <t>퀸비틀 — 분석 불가</t>
  </si>
  <si>
    <r>
      <rPr>
        <sz val="10"/>
        <rFont val="맑은 고딕"/>
        <family val="3"/>
        <charset val="129"/>
      </rPr>
      <t>JR</t>
    </r>
    <r>
      <rPr>
        <sz val="10"/>
        <rFont val="Noto Sans CJK SC"/>
        <family val="2"/>
      </rPr>
      <t>큐슈 자회사라 개별 재무제표가 없다</t>
    </r>
    <r>
      <rPr>
        <sz val="10"/>
        <rFont val="맑은 고딕"/>
        <family val="3"/>
        <charset val="129"/>
      </rPr>
      <t xml:space="preserve">. 2024.02 </t>
    </r>
    <r>
      <rPr>
        <sz val="10"/>
        <rFont val="Noto Sans CJK SC"/>
        <family val="2"/>
      </rPr>
      <t xml:space="preserve">침수 은폐 → </t>
    </r>
    <r>
      <rPr>
        <sz val="10"/>
        <rFont val="맑은 고딕"/>
        <family val="3"/>
        <charset val="129"/>
      </rPr>
      <t xml:space="preserve">08 </t>
    </r>
    <r>
      <rPr>
        <sz val="10"/>
        <rFont val="Noto Sans CJK SC"/>
        <family val="2"/>
      </rPr>
      <t xml:space="preserve">운항 중단 → </t>
    </r>
    <r>
      <rPr>
        <sz val="10"/>
        <rFont val="맑은 고딕"/>
        <family val="3"/>
        <charset val="129"/>
      </rPr>
      <t xml:space="preserve">12 </t>
    </r>
    <r>
      <rPr>
        <sz val="10"/>
        <rFont val="Noto Sans CJK SC"/>
        <family val="2"/>
      </rPr>
      <t>사업 철수 → 청산 수순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선박은 </t>
    </r>
    <r>
      <rPr>
        <sz val="10"/>
        <rFont val="맑은 고딕"/>
        <family val="3"/>
        <charset val="129"/>
      </rPr>
      <t xml:space="preserve">2025.04 </t>
    </r>
    <r>
      <rPr>
        <sz val="10"/>
        <rFont val="Noto Sans CJK SC"/>
        <family val="2"/>
      </rPr>
      <t>팬스타 매각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</si>
  <si>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쿠키뉴스 </t>
    </r>
    <r>
      <rPr>
        <sz val="10"/>
        <rFont val="맑은 고딕"/>
        <family val="3"/>
        <charset val="129"/>
      </rPr>
      <t xml:space="preserve">https://www.kukinews.com/article/view/kuk202412270007 · </t>
    </r>
    <r>
      <rPr>
        <sz val="10"/>
        <rFont val="Noto Sans CJK SC"/>
        <family val="2"/>
      </rPr>
      <t xml:space="preserve">부산일보 </t>
    </r>
    <r>
      <rPr>
        <sz val="10"/>
        <rFont val="맑은 고딕"/>
        <family val="3"/>
        <charset val="129"/>
      </rPr>
      <t>https://www.busan.com/view/busan/view.php?code=2025042018220861524</t>
    </r>
  </si>
  <si>
    <t>코리아프라이드 — 분석 불가</t>
  </si>
  <si>
    <r>
      <rPr>
        <sz val="10"/>
        <rFont val="Noto Sans CJK SC"/>
        <family val="2"/>
      </rPr>
      <t xml:space="preserve">인천–백령 </t>
    </r>
    <r>
      <rPr>
        <sz val="10"/>
        <rFont val="맑은 고딕"/>
        <family val="3"/>
        <charset val="129"/>
      </rPr>
      <t>218km</t>
    </r>
    <r>
      <rPr>
        <sz val="10"/>
        <rFont val="Noto Sans CJK SC"/>
        <family val="2"/>
      </rPr>
      <t>로 거리는 비슷하나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고려고속훼리가 여러 항로에 다수 선박을 운용해 이 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이 항로의 손익을 분리할 수 없다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제원만 확보 — </t>
    </r>
    <r>
      <rPr>
        <sz val="10"/>
        <rFont val="맑은 고딕"/>
        <family val="3"/>
        <charset val="129"/>
      </rPr>
      <t>1,600</t>
    </r>
    <r>
      <rPr>
        <sz val="10"/>
        <rFont val="Noto Sans CJK SC"/>
        <family val="2"/>
      </rPr>
      <t xml:space="preserve">톤급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>556</t>
    </r>
    <r>
      <rPr>
        <sz val="10"/>
        <rFont val="Noto Sans CJK SC"/>
        <family val="2"/>
      </rPr>
      <t xml:space="preserve">명 </t>
    </r>
    <r>
      <rPr>
        <sz val="10"/>
        <rFont val="맑은 고딕"/>
        <family val="3"/>
        <charset val="129"/>
      </rPr>
      <t xml:space="preserve">· 2022.09 </t>
    </r>
    <r>
      <rPr>
        <sz val="10"/>
        <rFont val="Noto Sans CJK SC"/>
        <family val="2"/>
      </rPr>
      <t>취항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</si>
  <si>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경인일보 </t>
    </r>
    <r>
      <rPr>
        <sz val="10"/>
        <rFont val="맑은 고딕"/>
        <family val="3"/>
        <charset val="129"/>
      </rPr>
      <t>https://www.kyeongin.com/article/1604448</t>
    </r>
  </si>
  <si>
    <t>왜 대저페리인가 — 유일한 표본</t>
  </si>
  <si>
    <r>
      <rPr>
        <sz val="10"/>
        <rFont val="Noto Sans CJK SC"/>
        <family val="2"/>
      </rPr>
      <t xml:space="preserve">포항–울릉 </t>
    </r>
    <r>
      <rPr>
        <sz val="10"/>
        <rFont val="맑은 고딕"/>
        <family val="3"/>
        <charset val="129"/>
      </rPr>
      <t xml:space="preserve">217km vs </t>
    </r>
    <r>
      <rPr>
        <sz val="10"/>
        <rFont val="Noto Sans CJK SC"/>
        <family val="2"/>
      </rPr>
      <t xml:space="preserve">부산–하카타 </t>
    </r>
    <r>
      <rPr>
        <sz val="10"/>
        <rFont val="맑은 고딕"/>
        <family val="3"/>
        <charset val="129"/>
      </rPr>
      <t xml:space="preserve">213km, 4km </t>
    </r>
    <r>
      <rPr>
        <sz val="10"/>
        <rFont val="Noto Sans CJK SC"/>
        <family val="2"/>
      </rPr>
      <t>차이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산타모니카호의 자매선 엘도라도호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척만 운용하는 단일 항로 선사라 손익계산서가 곧 그 배의 손익이다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국제항로의 출입국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대리점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항만비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면세 수입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선박금융은 다르다 — 절대 금액이 아니라 구조와 민감도를 읽는 자료</t>
    </r>
    <r>
      <rPr>
        <sz val="10"/>
        <rFont val="맑은 고딕"/>
        <family val="3"/>
        <charset val="129"/>
      </rPr>
      <t>.</t>
    </r>
  </si>
  <si>
    <t>이 파일</t>
  </si>
  <si>
    <r>
      <rPr>
        <b/>
        <sz val="11"/>
        <rFont val="맑은 고딕"/>
        <family val="3"/>
        <charset val="129"/>
      </rPr>
      <t xml:space="preserve">2. </t>
    </r>
    <r>
      <rPr>
        <b/>
        <sz val="11"/>
        <rFont val="Noto Sans CJK SC"/>
        <family val="2"/>
      </rPr>
      <t>자료 출처</t>
    </r>
  </si>
  <si>
    <t>자료</t>
  </si>
  <si>
    <t>이 파일에서 쓰인 곳</t>
  </si>
  <si>
    <t>원본</t>
  </si>
  <si>
    <r>
      <rPr>
        <b/>
        <sz val="10"/>
        <rFont val="Noto Sans CJK SC"/>
        <family val="2"/>
      </rPr>
      <t>대저페리 제</t>
    </r>
    <r>
      <rPr>
        <b/>
        <sz val="10"/>
        <rFont val="맑은 고딕"/>
        <family val="3"/>
        <charset val="129"/>
      </rPr>
      <t>3</t>
    </r>
    <r>
      <rPr>
        <b/>
        <sz val="10"/>
        <rFont val="Noto Sans CJK SC"/>
        <family val="2"/>
      </rPr>
      <t>기</t>
    </r>
    <r>
      <rPr>
        <b/>
        <sz val="10"/>
        <rFont val="맑은 고딕"/>
        <family val="3"/>
        <charset val="129"/>
      </rPr>
      <t xml:space="preserve">(2024) </t>
    </r>
    <r>
      <rPr>
        <b/>
        <sz val="10"/>
        <rFont val="Noto Sans CJK SC"/>
        <family val="2"/>
      </rPr>
      <t xml:space="preserve">감사보고서 — 신한회계법인 </t>
    </r>
    <r>
      <rPr>
        <b/>
        <sz val="10"/>
        <rFont val="맑은 고딕"/>
        <family val="3"/>
        <charset val="129"/>
      </rPr>
      <t xml:space="preserve">· 2025.03.31 · </t>
    </r>
    <r>
      <rPr>
        <b/>
        <sz val="10"/>
        <rFont val="Noto Sans CJK SC"/>
        <family val="2"/>
      </rPr>
      <t>의견거절</t>
    </r>
  </si>
  <si>
    <r>
      <rPr>
        <sz val="10"/>
        <rFont val="Noto Sans CJK SC"/>
        <family val="2"/>
      </rPr>
      <t>분석의 뿌리 — 손익계산서 원본 전량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주석 </t>
    </r>
    <r>
      <rPr>
        <sz val="10"/>
        <rFont val="맑은 고딕"/>
        <family val="3"/>
        <charset val="129"/>
      </rPr>
      <t xml:space="preserve">4 · 7 · 15 · 18 · 19, </t>
    </r>
    <r>
      <rPr>
        <sz val="10"/>
        <rFont val="Noto Sans CJK SC"/>
        <family val="2"/>
      </rPr>
      <t>재무상태표 부가세예수금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현금흐름표</t>
    </r>
  </si>
  <si>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대저페리</t>
    </r>
    <r>
      <rPr>
        <sz val="10"/>
        <rFont val="맑은 고딕"/>
        <family val="3"/>
        <charset val="129"/>
      </rPr>
      <t>]</t>
    </r>
    <r>
      <rPr>
        <sz val="10"/>
        <rFont val="Noto Sans CJK SC"/>
        <family val="2"/>
      </rPr>
      <t>감사보고서</t>
    </r>
    <r>
      <rPr>
        <sz val="10"/>
        <rFont val="맑은 고딕"/>
        <family val="3"/>
        <charset val="129"/>
      </rPr>
      <t>(2025.04.09).pdf · DART https://dart.fss.or.kr/</t>
    </r>
  </si>
  <si>
    <r>
      <rPr>
        <b/>
        <sz val="10"/>
        <rFont val="Noto Sans CJK SC"/>
        <family val="2"/>
      </rPr>
      <t xml:space="preserve">대저페리 공식 운임안내 — 포항↔울릉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엘도라도 익스프레스호</t>
    </r>
  </si>
  <si>
    <r>
      <rPr>
        <sz val="10"/>
        <rFont val="Noto Sans CJK SC"/>
        <family val="2"/>
      </rPr>
      <t xml:space="preserve">이코노미 </t>
    </r>
    <r>
      <rPr>
        <sz val="10"/>
        <rFont val="맑은 고딕"/>
        <family val="3"/>
        <charset val="129"/>
      </rPr>
      <t>81,000</t>
    </r>
    <r>
      <rPr>
        <sz val="10"/>
        <rFont val="Noto Sans CJK SC"/>
        <family val="2"/>
      </rPr>
      <t xml:space="preserve">원 기준 운임과 등급 배율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할인 운임</t>
    </r>
  </si>
  <si>
    <t>울릉크루즈 보도자료 — 연간 운항 실적</t>
  </si>
  <si>
    <r>
      <rPr>
        <sz val="10"/>
        <rFont val="Noto Sans CJK SC"/>
        <family val="2"/>
      </rPr>
      <t xml:space="preserve">연간 편도 항차수 </t>
    </r>
    <r>
      <rPr>
        <sz val="10"/>
        <rFont val="맑은 고딕"/>
        <family val="3"/>
        <charset val="129"/>
      </rPr>
      <t>498</t>
    </r>
    <r>
      <rPr>
        <sz val="10"/>
        <rFont val="Noto Sans CJK SC"/>
        <family val="2"/>
      </rPr>
      <t>항차의 근거</t>
    </r>
  </si>
  <si>
    <t>https://www.ulcruise.co.kr/www/aboutus/press?mode=view&amp;idx=5807</t>
  </si>
  <si>
    <r>
      <rPr>
        <b/>
        <sz val="10"/>
        <rFont val="Noto Sans CJK SC"/>
        <family val="2"/>
      </rPr>
      <t xml:space="preserve">시월드고속훼리 차량 운임표 </t>
    </r>
    <r>
      <rPr>
        <b/>
        <sz val="10"/>
        <rFont val="맑은 고딕"/>
        <family val="3"/>
        <charset val="129"/>
      </rPr>
      <t xml:space="preserve">(2024) — </t>
    </r>
    <r>
      <rPr>
        <b/>
        <sz val="10"/>
        <rFont val="Noto Sans CJK SC"/>
        <family val="2"/>
      </rPr>
      <t xml:space="preserve">진도↔제주 </t>
    </r>
    <r>
      <rPr>
        <b/>
        <sz val="10"/>
        <rFont val="맑은 고딕"/>
        <family val="3"/>
        <charset val="129"/>
      </rPr>
      <t xml:space="preserve">· </t>
    </r>
    <r>
      <rPr>
        <b/>
        <sz val="10"/>
        <rFont val="Noto Sans CJK SC"/>
        <family val="2"/>
      </rPr>
      <t>편도</t>
    </r>
  </si>
  <si>
    <t>산타모니카 적재 케이스의 화물 수입 산정</t>
  </si>
  <si>
    <r>
      <rPr>
        <sz val="10"/>
        <rFont val="Noto Sans CJK SC"/>
        <family val="2"/>
      </rPr>
      <t>운임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화물</t>
    </r>
    <r>
      <rPr>
        <sz val="10"/>
        <rFont val="맑은 고딕"/>
        <family val="3"/>
        <charset val="129"/>
      </rPr>
      <t>_</t>
    </r>
    <r>
      <rPr>
        <sz val="10"/>
        <rFont val="Noto Sans CJK SC"/>
        <family val="2"/>
      </rPr>
      <t>선박 시트 수록</t>
    </r>
  </si>
  <si>
    <t>엘도라도 익스프레스호 운항관리규정</t>
  </si>
  <si>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>970</t>
    </r>
    <r>
      <rPr>
        <sz val="10"/>
        <rFont val="Noto Sans CJK SC"/>
        <family val="2"/>
      </rPr>
      <t xml:space="preserve">명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최고 </t>
    </r>
    <r>
      <rPr>
        <sz val="10"/>
        <rFont val="맑은 고딕"/>
        <family val="3"/>
        <charset val="129"/>
      </rPr>
      <t>50.2</t>
    </r>
    <r>
      <rPr>
        <sz val="10"/>
        <rFont val="Noto Sans CJK SC"/>
        <family val="2"/>
      </rPr>
      <t xml:space="preserve">노트 </t>
    </r>
    <r>
      <rPr>
        <sz val="10"/>
        <rFont val="맑은 고딕"/>
        <family val="3"/>
        <charset val="129"/>
      </rPr>
      <t>· GT 3,158</t>
    </r>
    <r>
      <rPr>
        <sz val="10"/>
        <rFont val="Noto Sans CJK SC"/>
        <family val="2"/>
      </rPr>
      <t>톤</t>
    </r>
  </si>
  <si>
    <r>
      <rPr>
        <sz val="10"/>
        <rFont val="Noto Sans CJK SC"/>
        <family val="2"/>
      </rPr>
      <t>엘도라도 익스프레스호 운항관리규정</t>
    </r>
    <r>
      <rPr>
        <sz val="10"/>
        <rFont val="맑은 고딕"/>
        <family val="3"/>
        <charset val="129"/>
      </rPr>
      <t>.pdf</t>
    </r>
  </si>
  <si>
    <t>산타모니카호 운항관리규정</t>
  </si>
  <si>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>606</t>
    </r>
    <r>
      <rPr>
        <sz val="10"/>
        <rFont val="Noto Sans CJK SC"/>
        <family val="2"/>
      </rPr>
      <t xml:space="preserve">명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최고 </t>
    </r>
    <r>
      <rPr>
        <sz val="10"/>
        <rFont val="맑은 고딕"/>
        <family val="3"/>
        <charset val="129"/>
      </rPr>
      <t>45</t>
    </r>
    <r>
      <rPr>
        <sz val="10"/>
        <rFont val="Noto Sans CJK SC"/>
        <family val="2"/>
      </rPr>
      <t xml:space="preserve">노트 </t>
    </r>
    <r>
      <rPr>
        <sz val="10"/>
        <rFont val="맑은 고딕"/>
        <family val="3"/>
        <charset val="129"/>
      </rPr>
      <t>· GT 3,300</t>
    </r>
    <r>
      <rPr>
        <sz val="10"/>
        <rFont val="Noto Sans CJK SC"/>
        <family val="2"/>
      </rPr>
      <t xml:space="preserve">톤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적재 케이스</t>
    </r>
    <r>
      <rPr>
        <sz val="10"/>
        <rFont val="맑은 고딕"/>
        <family val="3"/>
        <charset val="129"/>
      </rPr>
      <t>(29p)</t>
    </r>
  </si>
  <si>
    <r>
      <rPr>
        <sz val="10"/>
        <rFont val="Noto Sans CJK SC"/>
        <family val="2"/>
      </rPr>
      <t>산타모니카운항관리규정</t>
    </r>
    <r>
      <rPr>
        <sz val="10"/>
        <rFont val="맑은 고딕"/>
        <family val="3"/>
        <charset val="129"/>
      </rPr>
      <t>.pdf</t>
    </r>
  </si>
  <si>
    <r>
      <rPr>
        <b/>
        <sz val="10"/>
        <rFont val="맑은 고딕"/>
        <family val="3"/>
        <charset val="129"/>
      </rPr>
      <t xml:space="preserve">fuel_price.json — Bunker Index </t>
    </r>
    <r>
      <rPr>
        <b/>
        <sz val="10"/>
        <rFont val="Noto Sans CJK SC"/>
        <family val="2"/>
      </rPr>
      <t>부산항</t>
    </r>
  </si>
  <si>
    <r>
      <rPr>
        <sz val="10"/>
        <rFont val="Noto Sans CJK SC"/>
        <family val="2"/>
      </rPr>
      <t xml:space="preserve">현재 연료 단가 </t>
    </r>
    <r>
      <rPr>
        <sz val="10"/>
        <rFont val="맑은 고딕"/>
        <family val="3"/>
        <charset val="129"/>
      </rPr>
      <t xml:space="preserve">$/MT · </t>
    </r>
    <r>
      <rPr>
        <sz val="10"/>
        <rFont val="Noto Sans CJK SC"/>
        <family val="2"/>
      </rPr>
      <t xml:space="preserve">환율 </t>
    </r>
    <r>
      <rPr>
        <sz val="10"/>
        <rFont val="맑은 고딕"/>
        <family val="3"/>
        <charset val="129"/>
      </rPr>
      <t>(2026-09-14: LSMGO 1,490$/MT · 1,346.24</t>
    </r>
    <r>
      <rPr>
        <sz val="10"/>
        <rFont val="Noto Sans CJK SC"/>
        <family val="2"/>
      </rPr>
      <t>원</t>
    </r>
    <r>
      <rPr>
        <sz val="10"/>
        <rFont val="맑은 고딕"/>
        <family val="3"/>
        <charset val="129"/>
      </rPr>
      <t>/$)</t>
    </r>
  </si>
  <si>
    <t>https://www.bunkerindex.com/prices/port.php?p=109&amp;n=busan-republic-of-korea</t>
  </si>
  <si>
    <r>
      <rPr>
        <sz val="10"/>
        <rFont val="Noto Sans CJK SC"/>
        <family val="2"/>
      </rPr>
      <t>산타모니카호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퀸비틀 제원의 출처</t>
    </r>
  </si>
  <si>
    <r>
      <rPr>
        <b/>
        <sz val="11"/>
        <rFont val="맑은 고딕"/>
        <family val="3"/>
        <charset val="129"/>
      </rPr>
      <t xml:space="preserve">3. </t>
    </r>
    <r>
      <rPr>
        <b/>
        <sz val="11"/>
        <rFont val="Noto Sans CJK SC"/>
        <family val="2"/>
      </rPr>
      <t>용어</t>
    </r>
  </si>
  <si>
    <t>말</t>
  </si>
  <si>
    <t>뜻</t>
  </si>
  <si>
    <r>
      <rPr>
        <sz val="10"/>
        <rFont val="Noto Sans CJK SC"/>
        <family val="2"/>
      </rPr>
      <t>편도 한 번의 운항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왕복하면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항차다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</si>
  <si>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승객수 </t>
    </r>
    <r>
      <rPr>
        <sz val="10"/>
        <rFont val="맑은 고딕"/>
        <family val="3"/>
        <charset val="129"/>
      </rPr>
      <t>÷ (</t>
    </r>
    <r>
      <rPr>
        <sz val="10"/>
        <rFont val="Noto Sans CJK SC"/>
        <family val="2"/>
      </rPr>
      <t xml:space="preserve">정원 </t>
    </r>
    <r>
      <rPr>
        <sz val="10"/>
        <rFont val="맑은 고딕"/>
        <family val="3"/>
        <charset val="129"/>
      </rPr>
      <t xml:space="preserve">× </t>
    </r>
    <r>
      <rPr>
        <sz val="10"/>
        <rFont val="Noto Sans CJK SC"/>
        <family val="2"/>
      </rPr>
      <t>항차수</t>
    </r>
    <r>
      <rPr>
        <sz val="10"/>
        <rFont val="맑은 고딕"/>
        <family val="3"/>
        <charset val="129"/>
      </rPr>
      <t xml:space="preserve">). </t>
    </r>
    <r>
      <rPr>
        <sz val="10"/>
        <rFont val="Noto Sans CJK SC"/>
        <family val="2"/>
      </rPr>
      <t xml:space="preserve">정원을 몇 </t>
    </r>
    <r>
      <rPr>
        <sz val="10"/>
        <rFont val="맑은 고딕"/>
        <family val="3"/>
        <charset val="129"/>
      </rPr>
      <t xml:space="preserve">% </t>
    </r>
    <r>
      <rPr>
        <sz val="10"/>
        <rFont val="Noto Sans CJK SC"/>
        <family val="2"/>
      </rPr>
      <t>채웠는가</t>
    </r>
    <r>
      <rPr>
        <sz val="10"/>
        <rFont val="맑은 고딕"/>
        <family val="3"/>
        <charset val="129"/>
      </rPr>
      <t>.</t>
    </r>
  </si>
  <si>
    <t>고정비</t>
  </si>
  <si>
    <r>
      <rPr>
        <sz val="10"/>
        <rFont val="Noto Sans CJK SC"/>
        <family val="2"/>
      </rPr>
      <t>승객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항차와 무관하게 나가는 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인건비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>).</t>
    </r>
  </si>
  <si>
    <t>준변동비</t>
  </si>
  <si>
    <r>
      <rPr>
        <sz val="10"/>
        <rFont val="Noto Sans CJK SC"/>
        <family val="2"/>
      </rPr>
      <t>항차에 붙는 돈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배를 더 띄워야 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같은 배에 사람을 더 태운다고 늘지 않는다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연료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>항비</t>
    </r>
    <r>
      <rPr>
        <sz val="10"/>
        <rFont val="맑은 고딕"/>
        <family val="3"/>
        <charset val="129"/>
      </rPr>
      <t>).</t>
    </r>
  </si>
  <si>
    <t>변동비</t>
  </si>
  <si>
    <r>
      <rPr>
        <sz val="10"/>
        <rFont val="Noto Sans CJK SC"/>
        <family val="2"/>
      </rPr>
      <t xml:space="preserve">승객 한 명에 붙는 돈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예약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결제 수수료</t>
    </r>
    <r>
      <rPr>
        <sz val="10"/>
        <rFont val="맑은 고딕"/>
        <family val="3"/>
        <charset val="129"/>
      </rPr>
      <t>).</t>
    </r>
  </si>
  <si>
    <r>
      <rPr>
        <sz val="10"/>
        <rFont val="Noto Sans CJK SC"/>
        <family val="2"/>
      </rPr>
      <t>운임에서 변동비를 뺀 몫의 비율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고정비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준변동비를 메우러 가는 돈</t>
    </r>
    <r>
      <rPr>
        <sz val="10"/>
        <rFont val="맑은 고딕"/>
        <family val="3"/>
        <charset val="129"/>
      </rPr>
      <t>.</t>
    </r>
  </si>
  <si>
    <r>
      <rPr>
        <b/>
        <sz val="10"/>
        <rFont val="Noto Sans CJK SC"/>
        <family val="2"/>
      </rPr>
      <t xml:space="preserve">손익분기 </t>
    </r>
    <r>
      <rPr>
        <b/>
        <sz val="10"/>
        <rFont val="맑은 고딕"/>
        <family val="3"/>
        <charset val="129"/>
      </rPr>
      <t>(BEP)</t>
    </r>
  </si>
  <si>
    <r>
      <rPr>
        <sz val="10"/>
        <rFont val="Noto Sans CJK SC"/>
        <family val="2"/>
      </rPr>
      <t xml:space="preserve">영업이익이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이 되는 승객수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이보다 적으면 적자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</si>
  <si>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 xml:space="preserve">영업이익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감가상각비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현금이 나가지 않는 비용을 되돌린 값으로 현금흐름에 가깝다</t>
    </r>
    <r>
      <rPr>
        <sz val="10"/>
        <rFont val="맑은 고딕"/>
        <family val="3"/>
        <charset val="129"/>
      </rPr>
      <t>.</t>
    </r>
  </si>
  <si>
    <t>DSCR</t>
  </si>
  <si>
    <r>
      <rPr>
        <sz val="10"/>
        <rFont val="맑은 고딕"/>
        <family val="3"/>
        <charset val="129"/>
      </rPr>
      <t xml:space="preserve">EBITDA ÷ </t>
    </r>
    <r>
      <rPr>
        <sz val="10"/>
        <rFont val="Noto Sans CJK SC"/>
        <family val="2"/>
      </rPr>
      <t>연간 원리금</t>
    </r>
    <r>
      <rPr>
        <sz val="10"/>
        <rFont val="맑은 고딕"/>
        <family val="3"/>
        <charset val="129"/>
      </rPr>
      <t xml:space="preserve">. 1.0 </t>
    </r>
    <r>
      <rPr>
        <sz val="10"/>
        <rFont val="Noto Sans CJK SC"/>
        <family val="2"/>
      </rPr>
      <t>미만이면 그해 빚을 못 갚는다는 뜻</t>
    </r>
    <r>
      <rPr>
        <sz val="10"/>
        <rFont val="맑은 고딕"/>
        <family val="3"/>
        <charset val="129"/>
      </rPr>
      <t>.</t>
    </r>
  </si>
  <si>
    <t>환산 유상여객</t>
  </si>
  <si>
    <r>
      <rPr>
        <sz val="10"/>
        <rFont val="Noto Sans CJK SC"/>
        <family val="2"/>
      </rPr>
      <t xml:space="preserve">여객수입 </t>
    </r>
    <r>
      <rPr>
        <sz val="10"/>
        <rFont val="맑은 고딕"/>
        <family val="3"/>
        <charset val="129"/>
      </rPr>
      <t xml:space="preserve">÷ </t>
    </r>
    <r>
      <rPr>
        <sz val="10"/>
        <rFont val="Noto Sans CJK SC"/>
        <family val="2"/>
      </rPr>
      <t>실현 단가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등급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할인이 섞여 있어 실제 탑승 인원이 아니다</t>
    </r>
    <r>
      <rPr>
        <sz val="10"/>
        <rFont val="맑은 고딕"/>
        <family val="3"/>
        <charset val="129"/>
      </rPr>
      <t>.</t>
    </r>
  </si>
  <si>
    <t>선적율</t>
  </si>
  <si>
    <r>
      <rPr>
        <sz val="10"/>
        <rFont val="Noto Sans CJK SC"/>
        <family val="2"/>
      </rPr>
      <t>화물 적재 가능량 대비 실제 싣는 비율</t>
    </r>
    <r>
      <rPr>
        <sz val="10"/>
        <rFont val="맑은 고딕"/>
        <family val="3"/>
        <charset val="129"/>
      </rPr>
      <t>.</t>
    </r>
  </si>
  <si>
    <r>
      <rPr>
        <sz val="10"/>
        <rFont val="Noto Sans CJK SC"/>
        <family val="2"/>
      </rPr>
      <t>선박 차입 이자를 운항원가에 넣는 우리 회사 방식</t>
    </r>
    <r>
      <rPr>
        <sz val="10"/>
        <rFont val="맑은 고딕"/>
        <family val="3"/>
        <charset val="129"/>
      </rPr>
      <t>. 10</t>
    </r>
    <r>
      <rPr>
        <sz val="10"/>
        <rFont val="Noto Sans CJK SC"/>
        <family val="2"/>
      </rPr>
      <t>개년 표에서 사용</t>
    </r>
    <r>
      <rPr>
        <sz val="10"/>
        <rFont val="맑은 고딕"/>
        <family val="3"/>
        <charset val="129"/>
      </rPr>
      <t>.</t>
    </r>
  </si>
  <si>
    <r>
      <t>C. 10개년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성장률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가정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(연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%) — 10개년_예상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시트</t>
    </r>
    <phoneticPr fontId="13" type="noConversion"/>
  </si>
  <si>
    <t>검산 시트 — 주석 7 퇴직급여충당부채 전입액은 보고서 자체 차이 1,193원 (도 ⚠ 표시)</t>
  </si>
  <si>
    <t>주황 바탕 칸만 바꾸면 모든 시트가 따라 움직인다. 기본값 =  화면의 기본값(감사보고서 기준안).</t>
  </si>
  <si>
    <t>비워 두면  첫 화면과 같은 158,197명(여객수입 ÷ 81,000원, 유류할증 제외).  "실적 역산값으로" 버튼 = 144,058명(유류할증 포함 단가) — 필요 운임·원가 구조 표가 이 값에 따라 달라진다</t>
  </si>
  <si>
    <t>D. 고정 상수 ( 코드 안의 상수)</t>
  </si>
  <si>
    <t>목표이익률_지표 시트의 계단 ( 고정 목록) + 설정 목표</t>
  </si>
  <si>
    <t>설정값이 비어 있으면  첫 화면 규칙: 여객수입 ÷ 가중평균 운임(유류할증 제외) = 158,197명. 실적 역산값으로 보려면 설정값에 144,058 입력</t>
  </si>
  <si>
    <t>6. 시뮬레이션 승객수에서의 원가 ( "원가 구조 — 고정·변동 분해")</t>
  </si>
  <si>
    <t>2. 운항기타 세목 산출 ( "운항기타 — 산출 근거")</t>
  </si>
  <si>
    <t>1. 차입 조건 · 첫해 원리금 ( debtService)</t>
  </si>
  <si>
    <t xml:space="preserve"> 규칙: 원리금균등은 PMT − 이자 (거치 중에도 동일 적용) · 원금균등 P/n · 만기일시 0</t>
  </si>
  <si>
    <t>2. 연도별 상환 스케줄 ( interestSeries)</t>
  </si>
  <si>
    <t>반복계산 보조 — "항차 자동 증가"가 O일 때 승객수가 항차를 밀어 올리면 다시 푼다 ( qFor 과 같은 절차)</t>
  </si>
  <si>
    <t>실적 역산 ( 규칙)</t>
  </si>
  <si>
    <t>출처: 대저페리 공식 운임안내 https://www.daezer.com/departure/departure-charge. · 편도·터미널이용료 포함 · 유류할증료·성수기 추가요금·경북도민 할인 별도</t>
  </si>
  <si>
    <t>산타모니카 운항관리규정 · index.</t>
  </si>
  <si>
    <t>index.</t>
  </si>
  <si>
    <t>경북일보 https://www.kyongbuk.co.kr/news/articleView.?idxno=4082968</t>
  </si>
  <si>
    <t>항로 자료 (index.)</t>
  </si>
  <si>
    <t>과의 차이</t>
  </si>
  <si>
    <t>① 시뮬레이션 승객수:  첫 화면과 같이 81,000원(유류할증 제외)으로 나눈 158,197명을 기본값으로 둔다. 손익분기·목표 승객수의 "실적 대비"는 유류할증 포함 단가로 역산한 144,058명 기준 (과 동일). ② 대조 선박 "인원수로 직접 입력"은 연간 승객수 한 칸으로 단순화. ③ 선박 추가 기능은 운임_화물_선박 시트 선박 표에 행을 더하는 방식.</t>
  </si>
  <si>
    <t>https://www.daezer.com/departure/departure-charge.</t>
  </si>
  <si>
    <t>부산–일본 항로 자료 (index.)</t>
  </si>
  <si>
    <t>주석 7 — 1,193원 차이는 보고서 자체 (도 ⚠)</t>
  </si>
  <si>
    <t>"대조: 손익계산서 = CVP 모형" 은 원가 항목을 X로 빼거나 성격을 바꾸면 달라질 수 있다 (도 같은 규칙).</t>
  </si>
  <si>
    <t>sga</t>
    <phoneticPr fontId="13" type="noConversion"/>
  </si>
  <si>
    <r>
      <t>5. BEP 모형용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원가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구성</t>
    </r>
    <r>
      <rPr>
        <b/>
        <sz val="11"/>
        <rFont val="맑은 고딕"/>
        <family val="2"/>
        <charset val="129"/>
      </rPr>
      <t xml:space="preserve"> — </t>
    </r>
    <r>
      <rPr>
        <b/>
        <sz val="11"/>
        <rFont val="맑은 고딕"/>
        <family val="3"/>
        <charset val="129"/>
      </rPr>
      <t>대조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선박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(설정값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A-3의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포함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· 성격을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그대로</t>
    </r>
    <r>
      <rPr>
        <b/>
        <sz val="11"/>
        <rFont val="맑은 고딕"/>
        <family val="2"/>
        <charset val="129"/>
      </rPr>
      <t xml:space="preserve"> </t>
    </r>
    <r>
      <rPr>
        <b/>
        <sz val="11"/>
        <rFont val="맑은 고딕"/>
        <family val="3"/>
        <charset val="129"/>
      </rPr>
      <t>따른다)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</si>
</sst>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#,##0_);[Red]\(#,##0\);\-_)"/>
    <numFmt numFmtId="177" formatCode="0.0%"/>
    <numFmt numFmtId="178" formatCode="\+#,##0;[Red]\-#,##0;0"/>
    <numFmt numFmtId="179" formatCode="0.0"/>
    <numFmt numFmtId="180" formatCode="0.00&quot;배&quot;"/>
    <numFmt numFmtId="181" formatCode="0.0000"/>
    <numFmt numFmtId="182" formatCode="0.000"/>
    <numFmt numFmtId="183" formatCode="0&quot;년차&quot;"/>
    <numFmt numFmtId="184" formatCode="&quot;y+&quot;0"/>
    <numFmt numFmtId="185" formatCode="0%&quot; 손익분기&quot;"/>
    <numFmt numFmtId="186" formatCode="0%&quot; 설정 목표&quot;"/>
    <numFmt numFmtId="187" formatCode="#,##0&quot;명&quot;"/>
    <numFmt numFmtId="188" formatCode="0.0#"/>
    <numFmt numFmtId="189" formatCode="&quot;Case &quot;0"/>
    <numFmt numFmtId="190" formatCode="#,##0;;\-"/>
  </numFmts>
  <fonts count="16">
    <font>
      <sz val="11"/>
      <color theme="1"/>
      <name val="Calibri"/>
      <family val="2"/>
      <charset val="1"/>
    </font>
    <font>
      <b/>
      <sz val="16"/>
      <name val="Noto Sans CJK SC"/>
      <family val="2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name val="Noto Sans CJK SC"/>
      <family val="2"/>
    </font>
    <font>
      <b/>
      <sz val="10"/>
      <name val="맑은 고딕"/>
      <family val="3"/>
      <charset val="129"/>
    </font>
    <font>
      <u/>
      <sz val="10"/>
      <color rgb="FF0000FF"/>
      <name val="Noto Sans CJK SC"/>
      <family val="2"/>
    </font>
    <font>
      <u/>
      <sz val="10"/>
      <color rgb="FF0000FF"/>
      <name val="맑은 고딕"/>
      <family val="3"/>
      <charset val="129"/>
    </font>
    <font>
      <b/>
      <sz val="16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name val="Noto Sans CJK SC"/>
      <family val="2"/>
    </font>
    <font>
      <b/>
      <sz val="10"/>
      <color rgb="FFFF0000"/>
      <name val="Noto Sans CJK SC"/>
      <family val="2"/>
    </font>
    <font>
      <b/>
      <sz val="10"/>
      <color rgb="FFFF0000"/>
      <name val="맑은 고딕"/>
      <family val="3"/>
      <charset val="129"/>
    </font>
    <font>
      <sz val="8"/>
      <name val="돋움"/>
      <family val="3"/>
      <charset val="129"/>
    </font>
    <font>
      <b/>
      <sz val="11"/>
      <name val="Arial"/>
      <family val="2"/>
    </font>
    <font>
      <b/>
      <sz val="1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FCE4D6"/>
      </patternFill>
    </fill>
    <fill>
      <patternFill patternType="solid">
        <fgColor rgb="FFFFFFCC"/>
        <bgColor rgb="FFFFFF99"/>
      </patternFill>
    </fill>
    <fill>
      <patternFill patternType="solid">
        <fgColor rgb="FFFCE4D6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76" fontId="5" fillId="3" borderId="1" xfId="0" applyNumberFormat="1" applyFont="1" applyFill="1" applyBorder="1" applyAlignment="1">
      <alignment horizontal="right"/>
    </xf>
    <xf numFmtId="177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/>
    <xf numFmtId="10" fontId="5" fillId="3" borderId="1" xfId="0" applyNumberFormat="1" applyFont="1" applyFill="1" applyBorder="1" applyAlignment="1">
      <alignment horizontal="right"/>
    </xf>
    <xf numFmtId="0" fontId="3" fillId="0" borderId="1" xfId="0" applyFont="1" applyBorder="1"/>
    <xf numFmtId="176" fontId="3" fillId="0" borderId="1" xfId="0" applyNumberFormat="1" applyFont="1" applyBorder="1" applyAlignment="1">
      <alignment horizontal="right"/>
    </xf>
    <xf numFmtId="0" fontId="2" fillId="0" borderId="1" xfId="0" applyFont="1" applyBorder="1"/>
    <xf numFmtId="3" fontId="5" fillId="3" borderId="1" xfId="0" applyNumberFormat="1" applyFont="1" applyFill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78" fontId="3" fillId="0" borderId="1" xfId="0" applyNumberFormat="1" applyFont="1" applyBorder="1" applyAlignment="1">
      <alignment horizontal="right"/>
    </xf>
    <xf numFmtId="177" fontId="3" fillId="0" borderId="1" xfId="0" applyNumberFormat="1" applyFont="1" applyBorder="1" applyAlignment="1">
      <alignment horizontal="right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3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9" fillId="0" borderId="0" xfId="0" applyFont="1"/>
    <xf numFmtId="10" fontId="3" fillId="4" borderId="1" xfId="0" applyNumberFormat="1" applyFont="1" applyFill="1" applyBorder="1"/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3" fillId="5" borderId="1" xfId="0" applyNumberFormat="1" applyFont="1" applyFill="1" applyBorder="1"/>
    <xf numFmtId="179" fontId="3" fillId="5" borderId="1" xfId="0" applyNumberFormat="1" applyFont="1" applyFill="1" applyBorder="1"/>
    <xf numFmtId="2" fontId="3" fillId="5" borderId="1" xfId="0" applyNumberFormat="1" applyFont="1" applyFill="1" applyBorder="1"/>
    <xf numFmtId="0" fontId="3" fillId="5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176" fontId="5" fillId="3" borderId="1" xfId="0" applyNumberFormat="1" applyFont="1" applyFill="1" applyBorder="1"/>
    <xf numFmtId="0" fontId="3" fillId="3" borderId="1" xfId="0" applyFont="1" applyFill="1" applyBorder="1"/>
    <xf numFmtId="177" fontId="3" fillId="3" borderId="1" xfId="0" applyNumberFormat="1" applyFont="1" applyFill="1" applyBorder="1"/>
    <xf numFmtId="176" fontId="3" fillId="3" borderId="1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indent="2"/>
    </xf>
    <xf numFmtId="176" fontId="3" fillId="0" borderId="1" xfId="0" applyNumberFormat="1" applyFont="1" applyBorder="1"/>
    <xf numFmtId="177" fontId="3" fillId="0" borderId="1" xfId="0" applyNumberFormat="1" applyFont="1" applyBorder="1"/>
    <xf numFmtId="0" fontId="2" fillId="0" borderId="1" xfId="0" applyFont="1" applyBorder="1" applyAlignment="1">
      <alignment indent="4"/>
    </xf>
    <xf numFmtId="0" fontId="3" fillId="0" borderId="1" xfId="0" applyFont="1" applyBorder="1" applyAlignment="1">
      <alignment indent="6"/>
    </xf>
    <xf numFmtId="0" fontId="3" fillId="0" borderId="1" xfId="0" applyFont="1" applyBorder="1" applyAlignment="1">
      <alignment indent="2"/>
    </xf>
    <xf numFmtId="0" fontId="2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indent="2"/>
    </xf>
    <xf numFmtId="176" fontId="5" fillId="5" borderId="1" xfId="0" applyNumberFormat="1" applyFont="1" applyFill="1" applyBorder="1"/>
    <xf numFmtId="177" fontId="3" fillId="5" borderId="1" xfId="0" applyNumberFormat="1" applyFont="1" applyFill="1" applyBorder="1"/>
    <xf numFmtId="176" fontId="3" fillId="5" borderId="1" xfId="0" applyNumberFormat="1" applyFont="1" applyFill="1" applyBorder="1"/>
    <xf numFmtId="0" fontId="4" fillId="5" borderId="1" xfId="0" applyFont="1" applyFill="1" applyBorder="1" applyAlignment="1">
      <alignment indent="2"/>
    </xf>
    <xf numFmtId="0" fontId="4" fillId="0" borderId="1" xfId="0" applyFont="1" applyBorder="1"/>
    <xf numFmtId="176" fontId="5" fillId="0" borderId="1" xfId="0" applyNumberFormat="1" applyFont="1" applyBorder="1"/>
    <xf numFmtId="0" fontId="11" fillId="0" borderId="1" xfId="0" applyFont="1" applyBorder="1"/>
    <xf numFmtId="176" fontId="12" fillId="0" borderId="1" xfId="0" applyNumberFormat="1" applyFont="1" applyBorder="1"/>
    <xf numFmtId="0" fontId="5" fillId="0" borderId="1" xfId="0" applyFont="1" applyBorder="1"/>
    <xf numFmtId="3" fontId="3" fillId="0" borderId="1" xfId="0" applyNumberFormat="1" applyFont="1" applyBorder="1"/>
    <xf numFmtId="180" fontId="3" fillId="0" borderId="1" xfId="0" applyNumberFormat="1" applyFont="1" applyBorder="1"/>
    <xf numFmtId="181" fontId="3" fillId="0" borderId="1" xfId="0" applyNumberFormat="1" applyFont="1" applyBorder="1"/>
    <xf numFmtId="0" fontId="4" fillId="5" borderId="1" xfId="0" applyFont="1" applyFill="1" applyBorder="1"/>
    <xf numFmtId="3" fontId="5" fillId="0" borderId="1" xfId="0" applyNumberFormat="1" applyFont="1" applyBorder="1"/>
    <xf numFmtId="10" fontId="3" fillId="0" borderId="1" xfId="0" applyNumberFormat="1" applyFont="1" applyBorder="1"/>
    <xf numFmtId="10" fontId="5" fillId="3" borderId="1" xfId="0" applyNumberFormat="1" applyFont="1" applyFill="1" applyBorder="1"/>
    <xf numFmtId="0" fontId="3" fillId="0" borderId="1" xfId="0" applyFont="1" applyBorder="1" applyAlignment="1">
      <alignment horizontal="center" vertical="center"/>
    </xf>
    <xf numFmtId="177" fontId="5" fillId="3" borderId="1" xfId="0" applyNumberFormat="1" applyFont="1" applyFill="1" applyBorder="1"/>
    <xf numFmtId="181" fontId="5" fillId="0" borderId="1" xfId="0" applyNumberFormat="1" applyFont="1" applyBorder="1"/>
    <xf numFmtId="182" fontId="3" fillId="0" borderId="1" xfId="0" applyNumberFormat="1" applyFont="1" applyBorder="1"/>
    <xf numFmtId="4" fontId="3" fillId="0" borderId="1" xfId="0" applyNumberFormat="1" applyFont="1" applyBorder="1"/>
    <xf numFmtId="3" fontId="5" fillId="5" borderId="1" xfId="0" applyNumberFormat="1" applyFont="1" applyFill="1" applyBorder="1"/>
    <xf numFmtId="0" fontId="3" fillId="0" borderId="1" xfId="0" applyFont="1" applyBorder="1" applyAlignment="1">
      <alignment indent="4"/>
    </xf>
    <xf numFmtId="0" fontId="5" fillId="5" borderId="1" xfId="0" applyFont="1" applyFill="1" applyBorder="1"/>
    <xf numFmtId="177" fontId="5" fillId="0" borderId="1" xfId="0" applyNumberFormat="1" applyFont="1" applyBorder="1"/>
    <xf numFmtId="2" fontId="5" fillId="5" borderId="1" xfId="0" applyNumberFormat="1" applyFont="1" applyFill="1" applyBorder="1"/>
    <xf numFmtId="0" fontId="5" fillId="2" borderId="1" xfId="0" applyFont="1" applyFill="1" applyBorder="1" applyAlignment="1">
      <alignment horizontal="center" vertical="center" wrapText="1"/>
    </xf>
    <xf numFmtId="183" fontId="3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wrapText="1"/>
    </xf>
    <xf numFmtId="0" fontId="4" fillId="2" borderId="1" xfId="0" applyFont="1" applyFill="1" applyBorder="1"/>
    <xf numFmtId="184" fontId="3" fillId="0" borderId="1" xfId="0" applyNumberFormat="1" applyFont="1" applyBorder="1" applyAlignment="1">
      <alignment horizontal="center" vertical="center"/>
    </xf>
    <xf numFmtId="10" fontId="3" fillId="3" borderId="1" xfId="0" applyNumberFormat="1" applyFont="1" applyFill="1" applyBorder="1"/>
    <xf numFmtId="10" fontId="3" fillId="5" borderId="1" xfId="0" applyNumberFormat="1" applyFont="1" applyFill="1" applyBorder="1"/>
    <xf numFmtId="185" fontId="3" fillId="0" borderId="1" xfId="0" applyNumberFormat="1" applyFont="1" applyBorder="1"/>
    <xf numFmtId="178" fontId="3" fillId="0" borderId="1" xfId="0" applyNumberFormat="1" applyFont="1" applyBorder="1"/>
    <xf numFmtId="9" fontId="3" fillId="0" borderId="1" xfId="0" applyNumberFormat="1" applyFont="1" applyBorder="1"/>
    <xf numFmtId="186" fontId="5" fillId="5" borderId="1" xfId="0" applyNumberFormat="1" applyFont="1" applyFill="1" applyBorder="1"/>
    <xf numFmtId="178" fontId="3" fillId="5" borderId="1" xfId="0" applyNumberFormat="1" applyFont="1" applyFill="1" applyBorder="1"/>
    <xf numFmtId="177" fontId="12" fillId="0" borderId="1" xfId="0" applyNumberFormat="1" applyFont="1" applyBorder="1"/>
    <xf numFmtId="10" fontId="3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/>
    <xf numFmtId="176" fontId="2" fillId="0" borderId="1" xfId="0" applyNumberFormat="1" applyFont="1" applyBorder="1"/>
    <xf numFmtId="176" fontId="2" fillId="0" borderId="1" xfId="0" applyNumberFormat="1" applyFont="1" applyBorder="1" applyAlignment="1">
      <alignment horizontal="center" vertical="center"/>
    </xf>
    <xf numFmtId="181" fontId="3" fillId="3" borderId="1" xfId="0" applyNumberFormat="1" applyFont="1" applyFill="1" applyBorder="1"/>
    <xf numFmtId="188" fontId="3" fillId="0" borderId="1" xfId="0" applyNumberFormat="1" applyFont="1" applyBorder="1"/>
    <xf numFmtId="189" fontId="3" fillId="0" borderId="1" xfId="0" applyNumberFormat="1" applyFont="1" applyBorder="1" applyAlignment="1">
      <alignment horizontal="center" vertical="center"/>
    </xf>
    <xf numFmtId="190" fontId="3" fillId="0" borderId="1" xfId="0" applyNumberFormat="1" applyFont="1" applyBorder="1"/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0" borderId="1" xfId="0" applyBorder="1"/>
    <xf numFmtId="0" fontId="2" fillId="0" borderId="2" xfId="0" applyFont="1" applyBorder="1"/>
    <xf numFmtId="187" fontId="3" fillId="0" borderId="2" xfId="0" applyNumberFormat="1" applyFont="1" applyBorder="1"/>
    <xf numFmtId="3" fontId="3" fillId="4" borderId="1" xfId="0" applyNumberFormat="1" applyFont="1" applyFill="1" applyBorder="1" applyAlignment="1">
      <alignment horizontal="right"/>
    </xf>
    <xf numFmtId="176" fontId="3" fillId="4" borderId="1" xfId="0" applyNumberFormat="1" applyFont="1" applyFill="1" applyBorder="1" applyAlignment="1">
      <alignment horizontal="right"/>
    </xf>
    <xf numFmtId="177" fontId="3" fillId="4" borderId="1" xfId="0" applyNumberFormat="1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 vertical="center" wrapText="1"/>
    </xf>
    <xf numFmtId="0" fontId="2" fillId="4" borderId="1" xfId="0" applyFont="1" applyFill="1" applyBorder="1" applyAlignment="1">
      <alignment horizontal="right"/>
    </xf>
    <xf numFmtId="4" fontId="3" fillId="4" borderId="1" xfId="0" applyNumberFormat="1" applyFont="1" applyFill="1" applyBorder="1" applyAlignment="1">
      <alignment horizontal="right"/>
    </xf>
    <xf numFmtId="1" fontId="3" fillId="4" borderId="1" xfId="0" applyNumberFormat="1" applyFont="1" applyFill="1" applyBorder="1" applyAlignment="1">
      <alignment horizontal="right"/>
    </xf>
    <xf numFmtId="0" fontId="4" fillId="3" borderId="2" xfId="0" applyFont="1" applyFill="1" applyBorder="1"/>
    <xf numFmtId="176" fontId="5" fillId="3" borderId="2" xfId="0" applyNumberFormat="1" applyFont="1" applyFill="1" applyBorder="1"/>
    <xf numFmtId="177" fontId="5" fillId="3" borderId="2" xfId="0" applyNumberFormat="1" applyFont="1" applyFill="1" applyBorder="1"/>
    <xf numFmtId="0" fontId="4" fillId="2" borderId="3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/>
    <xf numFmtId="0" fontId="4" fillId="0" borderId="0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76" fontId="3" fillId="0" borderId="3" xfId="0" applyNumberFormat="1" applyFont="1" applyBorder="1"/>
    <xf numFmtId="0" fontId="0" fillId="0" borderId="0" xfId="0" applyFill="1" applyBorder="1"/>
    <xf numFmtId="176" fontId="5" fillId="3" borderId="3" xfId="0" applyNumberFormat="1" applyFont="1" applyFill="1" applyBorder="1"/>
    <xf numFmtId="176" fontId="5" fillId="5" borderId="3" xfId="0" applyNumberFormat="1" applyFont="1" applyFill="1" applyBorder="1"/>
    <xf numFmtId="177" fontId="5" fillId="0" borderId="3" xfId="0" applyNumberFormat="1" applyFont="1" applyBorder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392F"/>
      <rgbColor rgb="FF993366"/>
      <rgbColor rgb="FF154B8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A.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참조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CVP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CVP_손익분기!$C$11</c:f>
              <c:strCache>
                <c:ptCount val="1"/>
                <c:pt idx="0">
                  <c:v>매출액</c:v>
                </c:pt>
              </c:strCache>
            </c:strRef>
          </c:tx>
          <c:spPr>
            <a:ln w="28440">
              <a:solidFill>
                <a:srgbClr val="154B8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CVP_손익분기!$B$12:$B$32</c:f>
              <c:numCache>
                <c:formatCode>#,##0</c:formatCode>
                <c:ptCount val="21"/>
                <c:pt idx="0">
                  <c:v>0</c:v>
                </c:pt>
                <c:pt idx="1">
                  <c:v>11122</c:v>
                </c:pt>
                <c:pt idx="2">
                  <c:v>22244</c:v>
                </c:pt>
                <c:pt idx="3">
                  <c:v>33366</c:v>
                </c:pt>
                <c:pt idx="4">
                  <c:v>44488</c:v>
                </c:pt>
                <c:pt idx="5">
                  <c:v>55610</c:v>
                </c:pt>
                <c:pt idx="6">
                  <c:v>66732</c:v>
                </c:pt>
                <c:pt idx="7">
                  <c:v>77854</c:v>
                </c:pt>
                <c:pt idx="8">
                  <c:v>88976</c:v>
                </c:pt>
                <c:pt idx="9">
                  <c:v>100098</c:v>
                </c:pt>
                <c:pt idx="10">
                  <c:v>111220</c:v>
                </c:pt>
                <c:pt idx="11">
                  <c:v>122342</c:v>
                </c:pt>
                <c:pt idx="12">
                  <c:v>133464</c:v>
                </c:pt>
                <c:pt idx="13">
                  <c:v>144586</c:v>
                </c:pt>
                <c:pt idx="14">
                  <c:v>155708</c:v>
                </c:pt>
                <c:pt idx="15">
                  <c:v>166830</c:v>
                </c:pt>
                <c:pt idx="16">
                  <c:v>177952</c:v>
                </c:pt>
                <c:pt idx="17">
                  <c:v>189074</c:v>
                </c:pt>
                <c:pt idx="18">
                  <c:v>200196</c:v>
                </c:pt>
                <c:pt idx="19">
                  <c:v>211318</c:v>
                </c:pt>
                <c:pt idx="20">
                  <c:v>222440</c:v>
                </c:pt>
              </c:numCache>
            </c:numRef>
          </c:cat>
          <c:val>
            <c:numRef>
              <c:f>CVP_손익분기!$C$12:$C$32</c:f>
              <c:numCache>
                <c:formatCode>#,##0_);[Red]\(#,##0\);\-_)</c:formatCode>
                <c:ptCount val="21"/>
                <c:pt idx="0">
                  <c:v>332.64217100000002</c:v>
                </c:pt>
                <c:pt idx="1">
                  <c:v>1321.9440709999999</c:v>
                </c:pt>
                <c:pt idx="2">
                  <c:v>2311.2459709999998</c:v>
                </c:pt>
                <c:pt idx="3">
                  <c:v>3300.5478710000002</c:v>
                </c:pt>
                <c:pt idx="4">
                  <c:v>4289.8497710000001</c:v>
                </c:pt>
                <c:pt idx="5">
                  <c:v>5279.1516709999996</c:v>
                </c:pt>
                <c:pt idx="6">
                  <c:v>6268.453571</c:v>
                </c:pt>
                <c:pt idx="7">
                  <c:v>7257.7554710000004</c:v>
                </c:pt>
                <c:pt idx="8">
                  <c:v>8247.0573710000008</c:v>
                </c:pt>
                <c:pt idx="9">
                  <c:v>9236.3592709999994</c:v>
                </c:pt>
                <c:pt idx="10">
                  <c:v>10225.661171</c:v>
                </c:pt>
                <c:pt idx="11">
                  <c:v>11214.963071</c:v>
                </c:pt>
                <c:pt idx="12">
                  <c:v>12204.264971000001</c:v>
                </c:pt>
                <c:pt idx="13">
                  <c:v>13193.566871000001</c:v>
                </c:pt>
                <c:pt idx="14">
                  <c:v>14182.868770999999</c:v>
                </c:pt>
                <c:pt idx="15">
                  <c:v>15172.170671</c:v>
                </c:pt>
                <c:pt idx="16">
                  <c:v>16161.472571</c:v>
                </c:pt>
                <c:pt idx="17">
                  <c:v>17150.774471000001</c:v>
                </c:pt>
                <c:pt idx="18">
                  <c:v>18140.076370999999</c:v>
                </c:pt>
                <c:pt idx="19">
                  <c:v>19129.378271000001</c:v>
                </c:pt>
                <c:pt idx="20">
                  <c:v>20118.680171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BE-4CDF-8566-3559DDAFD6E6}"/>
            </c:ext>
          </c:extLst>
        </c:ser>
        <c:ser>
          <c:idx val="1"/>
          <c:order val="1"/>
          <c:tx>
            <c:strRef>
              <c:f>CVP_손익분기!$D$11</c:f>
              <c:strCache>
                <c:ptCount val="1"/>
                <c:pt idx="0">
                  <c:v>총비용</c:v>
                </c:pt>
              </c:strCache>
            </c:strRef>
          </c:tx>
          <c:spPr>
            <a:ln w="28440">
              <a:solidFill>
                <a:srgbClr val="A8392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CVP_손익분기!$B$12:$B$32</c:f>
              <c:numCache>
                <c:formatCode>#,##0</c:formatCode>
                <c:ptCount val="21"/>
                <c:pt idx="0">
                  <c:v>0</c:v>
                </c:pt>
                <c:pt idx="1">
                  <c:v>11122</c:v>
                </c:pt>
                <c:pt idx="2">
                  <c:v>22244</c:v>
                </c:pt>
                <c:pt idx="3">
                  <c:v>33366</c:v>
                </c:pt>
                <c:pt idx="4">
                  <c:v>44488</c:v>
                </c:pt>
                <c:pt idx="5">
                  <c:v>55610</c:v>
                </c:pt>
                <c:pt idx="6">
                  <c:v>66732</c:v>
                </c:pt>
                <c:pt idx="7">
                  <c:v>77854</c:v>
                </c:pt>
                <c:pt idx="8">
                  <c:v>88976</c:v>
                </c:pt>
                <c:pt idx="9">
                  <c:v>100098</c:v>
                </c:pt>
                <c:pt idx="10">
                  <c:v>111220</c:v>
                </c:pt>
                <c:pt idx="11">
                  <c:v>122342</c:v>
                </c:pt>
                <c:pt idx="12">
                  <c:v>133464</c:v>
                </c:pt>
                <c:pt idx="13">
                  <c:v>144586</c:v>
                </c:pt>
                <c:pt idx="14">
                  <c:v>155708</c:v>
                </c:pt>
                <c:pt idx="15">
                  <c:v>166830</c:v>
                </c:pt>
                <c:pt idx="16">
                  <c:v>177952</c:v>
                </c:pt>
                <c:pt idx="17">
                  <c:v>189074</c:v>
                </c:pt>
                <c:pt idx="18">
                  <c:v>200196</c:v>
                </c:pt>
                <c:pt idx="19">
                  <c:v>211318</c:v>
                </c:pt>
                <c:pt idx="20">
                  <c:v>222440</c:v>
                </c:pt>
              </c:numCache>
            </c:numRef>
          </c:cat>
          <c:val>
            <c:numRef>
              <c:f>CVP_손익분기!$D$12:$D$32</c:f>
              <c:numCache>
                <c:formatCode>#,##0_);[Red]\(#,##0\);\-_)</c:formatCode>
                <c:ptCount val="21"/>
                <c:pt idx="0">
                  <c:v>14685.31106</c:v>
                </c:pt>
                <c:pt idx="1">
                  <c:v>14727.065066894716</c:v>
                </c:pt>
                <c:pt idx="2">
                  <c:v>14768.819073789435</c:v>
                </c:pt>
                <c:pt idx="3">
                  <c:v>14810.573080684151</c:v>
                </c:pt>
                <c:pt idx="4">
                  <c:v>14852.327087578869</c:v>
                </c:pt>
                <c:pt idx="5">
                  <c:v>14894.081094473586</c:v>
                </c:pt>
                <c:pt idx="6">
                  <c:v>14935.835101368304</c:v>
                </c:pt>
                <c:pt idx="7">
                  <c:v>14977.589108263019</c:v>
                </c:pt>
                <c:pt idx="8">
                  <c:v>15019.343115157737</c:v>
                </c:pt>
                <c:pt idx="9">
                  <c:v>15061.097122052453</c:v>
                </c:pt>
                <c:pt idx="10">
                  <c:v>15102.851128947172</c:v>
                </c:pt>
                <c:pt idx="11">
                  <c:v>15144.605135841888</c:v>
                </c:pt>
                <c:pt idx="12">
                  <c:v>15186.359142736606</c:v>
                </c:pt>
                <c:pt idx="13">
                  <c:v>15228.113149631323</c:v>
                </c:pt>
                <c:pt idx="14">
                  <c:v>15269.867156526041</c:v>
                </c:pt>
                <c:pt idx="15">
                  <c:v>15311.621163420758</c:v>
                </c:pt>
                <c:pt idx="16">
                  <c:v>15353.375170315476</c:v>
                </c:pt>
                <c:pt idx="17">
                  <c:v>15395.129177210192</c:v>
                </c:pt>
                <c:pt idx="18">
                  <c:v>15436.88318410491</c:v>
                </c:pt>
                <c:pt idx="19">
                  <c:v>15478.637190999627</c:v>
                </c:pt>
                <c:pt idx="20">
                  <c:v>15520.391197894345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BE-4CDF-8566-3559DDAFD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106502"/>
        <c:axId val="78358525"/>
      </c:lineChart>
      <c:catAx>
        <c:axId val="951065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승객수 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명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78358525"/>
        <c:crosses val="autoZero"/>
        <c:auto val="1"/>
        <c:lblAlgn val="ctr"/>
        <c:lblOffset val="100"/>
        <c:noMultiLvlLbl val="0"/>
      </c:catAx>
      <c:valAx>
        <c:axId val="783585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백만원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_);[Red]\(#,##0\);\-_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951065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B.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대조 선박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CVP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CVP_손익분기!$H$11</c:f>
              <c:strCache>
                <c:ptCount val="1"/>
                <c:pt idx="0">
                  <c:v>매출액</c:v>
                </c:pt>
              </c:strCache>
            </c:strRef>
          </c:tx>
          <c:spPr>
            <a:ln w="28440">
              <a:solidFill>
                <a:srgbClr val="154B8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CVP_손익분기!$G$12:$G$32</c:f>
              <c:numCache>
                <c:formatCode>#,##0</c:formatCode>
                <c:ptCount val="21"/>
                <c:pt idx="0">
                  <c:v>0</c:v>
                </c:pt>
                <c:pt idx="1">
                  <c:v>11363</c:v>
                </c:pt>
                <c:pt idx="2">
                  <c:v>22725</c:v>
                </c:pt>
                <c:pt idx="3">
                  <c:v>34088</c:v>
                </c:pt>
                <c:pt idx="4">
                  <c:v>45450</c:v>
                </c:pt>
                <c:pt idx="5">
                  <c:v>56813</c:v>
                </c:pt>
                <c:pt idx="6">
                  <c:v>68175</c:v>
                </c:pt>
                <c:pt idx="7">
                  <c:v>79538</c:v>
                </c:pt>
                <c:pt idx="8">
                  <c:v>90900</c:v>
                </c:pt>
                <c:pt idx="9">
                  <c:v>102263</c:v>
                </c:pt>
                <c:pt idx="10">
                  <c:v>113625</c:v>
                </c:pt>
                <c:pt idx="11">
                  <c:v>124988</c:v>
                </c:pt>
                <c:pt idx="12">
                  <c:v>136350</c:v>
                </c:pt>
                <c:pt idx="13">
                  <c:v>147713</c:v>
                </c:pt>
                <c:pt idx="14">
                  <c:v>159075</c:v>
                </c:pt>
                <c:pt idx="15">
                  <c:v>170438</c:v>
                </c:pt>
                <c:pt idx="16">
                  <c:v>181800</c:v>
                </c:pt>
                <c:pt idx="17">
                  <c:v>193163</c:v>
                </c:pt>
                <c:pt idx="18">
                  <c:v>204525</c:v>
                </c:pt>
                <c:pt idx="19">
                  <c:v>215888</c:v>
                </c:pt>
                <c:pt idx="20">
                  <c:v>227250</c:v>
                </c:pt>
              </c:numCache>
            </c:numRef>
          </c:cat>
          <c:val>
            <c:numRef>
              <c:f>CVP_손익분기!$H$12:$H$32</c:f>
              <c:numCache>
                <c:formatCode>#,##0_);[Red]\(#,##0\);\-_)</c:formatCode>
                <c:ptCount val="21"/>
                <c:pt idx="0">
                  <c:v>1184.2775999999999</c:v>
                </c:pt>
                <c:pt idx="1">
                  <c:v>2547.8375999999998</c:v>
                </c:pt>
                <c:pt idx="2">
                  <c:v>3911.2775999999999</c:v>
                </c:pt>
                <c:pt idx="3">
                  <c:v>5274.8375999999998</c:v>
                </c:pt>
                <c:pt idx="4">
                  <c:v>6638.2776000000003</c:v>
                </c:pt>
                <c:pt idx="5">
                  <c:v>8001.8375999999998</c:v>
                </c:pt>
                <c:pt idx="6">
                  <c:v>9365.2775999999994</c:v>
                </c:pt>
                <c:pt idx="7">
                  <c:v>10728.837600000001</c:v>
                </c:pt>
                <c:pt idx="8">
                  <c:v>12092.277599999999</c:v>
                </c:pt>
                <c:pt idx="9">
                  <c:v>13455.837600000001</c:v>
                </c:pt>
                <c:pt idx="10">
                  <c:v>14819.277599999999</c:v>
                </c:pt>
                <c:pt idx="11">
                  <c:v>16182.837600000001</c:v>
                </c:pt>
                <c:pt idx="12">
                  <c:v>17546.277600000001</c:v>
                </c:pt>
                <c:pt idx="13">
                  <c:v>18909.837599999999</c:v>
                </c:pt>
                <c:pt idx="14">
                  <c:v>20273.277600000001</c:v>
                </c:pt>
                <c:pt idx="15">
                  <c:v>21636.837599999999</c:v>
                </c:pt>
                <c:pt idx="16">
                  <c:v>23000.277600000001</c:v>
                </c:pt>
                <c:pt idx="17">
                  <c:v>24363.837599999999</c:v>
                </c:pt>
                <c:pt idx="18">
                  <c:v>25727.277600000001</c:v>
                </c:pt>
                <c:pt idx="19">
                  <c:v>27090.837599999999</c:v>
                </c:pt>
                <c:pt idx="20">
                  <c:v>28454.277600000001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C6-4C7D-8505-1128F63ED708}"/>
            </c:ext>
          </c:extLst>
        </c:ser>
        <c:ser>
          <c:idx val="1"/>
          <c:order val="1"/>
          <c:tx>
            <c:strRef>
              <c:f>CVP_손익분기!$I$11</c:f>
              <c:strCache>
                <c:ptCount val="1"/>
                <c:pt idx="0">
                  <c:v>총비용</c:v>
                </c:pt>
              </c:strCache>
            </c:strRef>
          </c:tx>
          <c:spPr>
            <a:ln w="28440">
              <a:solidFill>
                <a:srgbClr val="A8392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CVP_손익분기!$G$12:$G$32</c:f>
              <c:numCache>
                <c:formatCode>#,##0</c:formatCode>
                <c:ptCount val="21"/>
                <c:pt idx="0">
                  <c:v>0</c:v>
                </c:pt>
                <c:pt idx="1">
                  <c:v>11363</c:v>
                </c:pt>
                <c:pt idx="2">
                  <c:v>22725</c:v>
                </c:pt>
                <c:pt idx="3">
                  <c:v>34088</c:v>
                </c:pt>
                <c:pt idx="4">
                  <c:v>45450</c:v>
                </c:pt>
                <c:pt idx="5">
                  <c:v>56813</c:v>
                </c:pt>
                <c:pt idx="6">
                  <c:v>68175</c:v>
                </c:pt>
                <c:pt idx="7">
                  <c:v>79538</c:v>
                </c:pt>
                <c:pt idx="8">
                  <c:v>90900</c:v>
                </c:pt>
                <c:pt idx="9">
                  <c:v>102263</c:v>
                </c:pt>
                <c:pt idx="10">
                  <c:v>113625</c:v>
                </c:pt>
                <c:pt idx="11">
                  <c:v>124988</c:v>
                </c:pt>
                <c:pt idx="12">
                  <c:v>136350</c:v>
                </c:pt>
                <c:pt idx="13">
                  <c:v>147713</c:v>
                </c:pt>
                <c:pt idx="14">
                  <c:v>159075</c:v>
                </c:pt>
                <c:pt idx="15">
                  <c:v>170438</c:v>
                </c:pt>
                <c:pt idx="16">
                  <c:v>181800</c:v>
                </c:pt>
                <c:pt idx="17">
                  <c:v>193163</c:v>
                </c:pt>
                <c:pt idx="18">
                  <c:v>204525</c:v>
                </c:pt>
                <c:pt idx="19">
                  <c:v>215888</c:v>
                </c:pt>
                <c:pt idx="20">
                  <c:v>227250</c:v>
                </c:pt>
              </c:numCache>
            </c:numRef>
          </c:cat>
          <c:val>
            <c:numRef>
              <c:f>CVP_손익분기!$I$12:$I$32</c:f>
              <c:numCache>
                <c:formatCode>#,##0_);[Red]\(#,##0\);\-_)</c:formatCode>
                <c:ptCount val="21"/>
                <c:pt idx="0">
                  <c:v>20814.164598165236</c:v>
                </c:pt>
                <c:pt idx="1">
                  <c:v>20856.823362806907</c:v>
                </c:pt>
                <c:pt idx="2">
                  <c:v>20899.478373267058</c:v>
                </c:pt>
                <c:pt idx="3">
                  <c:v>20942.137137908729</c:v>
                </c:pt>
                <c:pt idx="4">
                  <c:v>20984.792148368877</c:v>
                </c:pt>
                <c:pt idx="5">
                  <c:v>21027.450913010551</c:v>
                </c:pt>
                <c:pt idx="6">
                  <c:v>21070.105923470699</c:v>
                </c:pt>
                <c:pt idx="7">
                  <c:v>21112.764688112369</c:v>
                </c:pt>
                <c:pt idx="8">
                  <c:v>21155.419698572521</c:v>
                </c:pt>
                <c:pt idx="9">
                  <c:v>21198.078463214191</c:v>
                </c:pt>
                <c:pt idx="10">
                  <c:v>21240.73347367434</c:v>
                </c:pt>
                <c:pt idx="11">
                  <c:v>21283.392238316013</c:v>
                </c:pt>
                <c:pt idx="12">
                  <c:v>21326.047248776162</c:v>
                </c:pt>
                <c:pt idx="13">
                  <c:v>21368.706013417832</c:v>
                </c:pt>
                <c:pt idx="14">
                  <c:v>21411.361023877984</c:v>
                </c:pt>
                <c:pt idx="15">
                  <c:v>21454.019788519654</c:v>
                </c:pt>
                <c:pt idx="16">
                  <c:v>21496.674798979802</c:v>
                </c:pt>
                <c:pt idx="17">
                  <c:v>21539.333563621476</c:v>
                </c:pt>
                <c:pt idx="18">
                  <c:v>21581.988574081624</c:v>
                </c:pt>
                <c:pt idx="19">
                  <c:v>21624.647338723295</c:v>
                </c:pt>
                <c:pt idx="20">
                  <c:v>21667.302349183443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C6-4C7D-8505-1128F63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003242"/>
        <c:axId val="5277026"/>
      </c:lineChart>
      <c:catAx>
        <c:axId val="40032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승객수 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명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5277026"/>
        <c:crosses val="autoZero"/>
        <c:auto val="1"/>
        <c:lblAlgn val="ctr"/>
        <c:lblOffset val="100"/>
        <c:noMultiLvlLbl val="0"/>
      </c:catAx>
      <c:valAx>
        <c:axId val="52770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백만원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_);[Red]\(#,##0\);\-_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003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</xdr:colOff>
      <xdr:row>3</xdr:row>
      <xdr:rowOff>174384</xdr:rowOff>
    </xdr:from>
    <xdr:to>
      <xdr:col>20</xdr:col>
      <xdr:colOff>222315</xdr:colOff>
      <xdr:row>20</xdr:row>
      <xdr:rowOff>153052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1</xdr:colOff>
      <xdr:row>3</xdr:row>
      <xdr:rowOff>185232</xdr:rowOff>
    </xdr:from>
    <xdr:to>
      <xdr:col>30</xdr:col>
      <xdr:colOff>222315</xdr:colOff>
      <xdr:row>20</xdr:row>
      <xdr:rowOff>163900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54616;&#52852;&#53440;%20&#49552;&#51061;&#48516;&#49437;%20&#44540;&#44144;.xlsx" TargetMode="External"/><Relationship Id="rId13" Type="http://schemas.openxmlformats.org/officeDocument/2006/relationships/hyperlink" Target="&#54616;&#52852;&#53440;%20&#49552;&#51061;&#48516;&#49437;%20&#44540;&#44144;.xlsx" TargetMode="External"/><Relationship Id="rId3" Type="http://schemas.openxmlformats.org/officeDocument/2006/relationships/hyperlink" Target="&#54616;&#52852;&#53440;%20&#49552;&#51061;&#48516;&#49437;%20&#44540;&#44144;.xlsx" TargetMode="External"/><Relationship Id="rId7" Type="http://schemas.openxmlformats.org/officeDocument/2006/relationships/hyperlink" Target="&#54616;&#52852;&#53440;%20&#49552;&#51061;&#48516;&#49437;%20&#44540;&#44144;.xlsx" TargetMode="External"/><Relationship Id="rId12" Type="http://schemas.openxmlformats.org/officeDocument/2006/relationships/hyperlink" Target="&#54616;&#52852;&#53440;%20&#49552;&#51061;&#48516;&#49437;%20&#44540;&#44144;.xlsx" TargetMode="External"/><Relationship Id="rId2" Type="http://schemas.openxmlformats.org/officeDocument/2006/relationships/hyperlink" Target="&#54616;&#52852;&#53440;%20&#49552;&#51061;&#48516;&#49437;%20&#44540;&#44144;.xlsx" TargetMode="External"/><Relationship Id="rId1" Type="http://schemas.openxmlformats.org/officeDocument/2006/relationships/hyperlink" Target="&#54616;&#52852;&#53440;%20&#49552;&#51061;&#48516;&#49437;%20&#44540;&#44144;.xlsx" TargetMode="External"/><Relationship Id="rId6" Type="http://schemas.openxmlformats.org/officeDocument/2006/relationships/hyperlink" Target="&#54616;&#52852;&#53440;%20&#49552;&#51061;&#48516;&#49437;%20&#44540;&#44144;.xlsx" TargetMode="External"/><Relationship Id="rId11" Type="http://schemas.openxmlformats.org/officeDocument/2006/relationships/hyperlink" Target="&#54616;&#52852;&#53440;%20&#49552;&#51061;&#48516;&#49437;%20&#44540;&#44144;.xlsx" TargetMode="External"/><Relationship Id="rId5" Type="http://schemas.openxmlformats.org/officeDocument/2006/relationships/hyperlink" Target="&#54616;&#52852;&#53440;%20&#49552;&#51061;&#48516;&#49437;%20&#44540;&#44144;.xlsx" TargetMode="External"/><Relationship Id="rId10" Type="http://schemas.openxmlformats.org/officeDocument/2006/relationships/hyperlink" Target="&#54616;&#52852;&#53440;%20&#49552;&#51061;&#48516;&#49437;%20&#44540;&#44144;.xlsx" TargetMode="External"/><Relationship Id="rId4" Type="http://schemas.openxmlformats.org/officeDocument/2006/relationships/hyperlink" Target="&#54616;&#52852;&#53440;%20&#49552;&#51061;&#48516;&#49437;%20&#44540;&#44144;.xlsx" TargetMode="External"/><Relationship Id="rId9" Type="http://schemas.openxmlformats.org/officeDocument/2006/relationships/hyperlink" Target="&#54616;&#52852;&#53440;%20&#49552;&#51061;&#48516;&#49437;%20&#44540;&#44144;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E42"/>
  <sheetViews>
    <sheetView topLeftCell="A10" zoomScale="85" zoomScaleNormal="85" workbookViewId="0">
      <selection activeCell="E45" sqref="E45"/>
    </sheetView>
  </sheetViews>
  <sheetFormatPr defaultColWidth="8.7109375" defaultRowHeight="15"/>
  <cols>
    <col min="1" max="1" width="2" customWidth="1"/>
    <col min="2" max="2" width="30" customWidth="1"/>
    <col min="3" max="4" width="18" customWidth="1"/>
    <col min="5" max="5" width="87.140625" bestFit="1" customWidth="1"/>
  </cols>
  <sheetData>
    <row r="1" spans="2:5" ht="20.25">
      <c r="B1" s="2" t="s">
        <v>0</v>
      </c>
    </row>
    <row r="2" spans="2:5">
      <c r="B2" s="3" t="s">
        <v>1</v>
      </c>
    </row>
    <row r="4" spans="2:5" ht="31.5" customHeight="1">
      <c r="B4" s="4" t="s">
        <v>2</v>
      </c>
      <c r="C4" s="4" t="s">
        <v>3</v>
      </c>
      <c r="D4" s="4" t="s">
        <v>4</v>
      </c>
      <c r="E4" s="4" t="s">
        <v>5</v>
      </c>
    </row>
    <row r="5" spans="2:5">
      <c r="B5" s="5" t="s">
        <v>6</v>
      </c>
      <c r="C5" s="6">
        <f>원가구조_기준!$C$13</f>
        <v>-2079522109</v>
      </c>
      <c r="D5" s="6">
        <f>대조선박_손익!$C$87</f>
        <v>1503602801.0201945</v>
      </c>
      <c r="E5" s="12" t="s">
        <v>7</v>
      </c>
    </row>
    <row r="6" spans="2:5">
      <c r="B6" s="5" t="s">
        <v>8</v>
      </c>
      <c r="C6" s="7">
        <f>원가구조_기준!$C$13/원가구조_기준!$C$7</f>
        <v>-0.15817935124884505</v>
      </c>
      <c r="D6" s="7">
        <f>대조선박_손익!$C$97</f>
        <v>6.5373245800311314E-2</v>
      </c>
      <c r="E6" s="12"/>
    </row>
    <row r="7" spans="2:5">
      <c r="B7" s="8" t="s">
        <v>9</v>
      </c>
      <c r="C7" s="6">
        <f>원가구조_기준!$C$15</f>
        <v>1269709891</v>
      </c>
      <c r="D7" s="6">
        <f>대조선박_손익!$C$88</f>
        <v>3753602801.0201945</v>
      </c>
      <c r="E7" s="12" t="s">
        <v>10</v>
      </c>
    </row>
    <row r="8" spans="2:5">
      <c r="B8" s="8" t="s">
        <v>11</v>
      </c>
      <c r="C8" s="9">
        <f>원가구조_기준!$C$15/원가구조_기준!$C$7</f>
        <v>9.6580789385885671E-2</v>
      </c>
      <c r="D8" s="9">
        <f>대조선박_손익!$C$88/대조선박_손익!$C$48</f>
        <v>0.16319815205274715</v>
      </c>
      <c r="E8" s="12"/>
    </row>
    <row r="9" spans="2:5">
      <c r="B9" s="8" t="s">
        <v>12</v>
      </c>
      <c r="C9" s="6">
        <f>인건비_부가가치!$C$29</f>
        <v>65681068.56666667</v>
      </c>
      <c r="D9" s="6">
        <f>인건비_부가가치!$D$29</f>
        <v>69835421.140000001</v>
      </c>
      <c r="E9" s="12" t="s">
        <v>13</v>
      </c>
    </row>
    <row r="10" spans="2:5">
      <c r="B10" s="10" t="s">
        <v>14</v>
      </c>
      <c r="C10" s="11">
        <f>인건비_부가가치!$C$31</f>
        <v>5080673.0999999996</v>
      </c>
      <c r="D10" s="11">
        <f>인건비_부가가치!$D$31</f>
        <v>6013443.8600000003</v>
      </c>
      <c r="E10" s="12"/>
    </row>
    <row r="11" spans="2:5">
      <c r="B11" s="12" t="s">
        <v>15</v>
      </c>
      <c r="C11" s="11">
        <f>인건비_부가가치!$C$32</f>
        <v>70761741.666666672</v>
      </c>
      <c r="D11" s="11">
        <f>인건비_부가가치!$D$32</f>
        <v>75848865</v>
      </c>
      <c r="E11" s="12"/>
    </row>
    <row r="12" spans="2:5">
      <c r="B12" s="5" t="s">
        <v>16</v>
      </c>
      <c r="C12" s="13">
        <f>목표이익률_지표!$C$35</f>
        <v>168466.82320227727</v>
      </c>
      <c r="D12" s="13">
        <f>목표이익률_지표!$C$81</f>
        <v>168865.31709514401</v>
      </c>
      <c r="E12" s="12" t="s">
        <v>17</v>
      </c>
    </row>
    <row r="13" spans="2:5">
      <c r="B13" s="12" t="s">
        <v>18</v>
      </c>
      <c r="C13" s="14">
        <f>원가구조_기준!$C$45</f>
        <v>144058.08875772907</v>
      </c>
      <c r="D13" s="14">
        <f>대조선박_손익!$C$25</f>
        <v>181800</v>
      </c>
      <c r="E13" s="12" t="s">
        <v>19</v>
      </c>
    </row>
    <row r="14" spans="2:5">
      <c r="B14" s="12" t="s">
        <v>20</v>
      </c>
      <c r="C14" s="15">
        <f>IFERROR(C12-C13,"")</f>
        <v>24408.734444548201</v>
      </c>
      <c r="D14" s="15">
        <f>IFERROR(D12-D13,"")</f>
        <v>-12934.682904855988</v>
      </c>
      <c r="E14" s="12"/>
    </row>
    <row r="15" spans="2:5">
      <c r="B15" s="12" t="s">
        <v>21</v>
      </c>
      <c r="C15" s="16">
        <f>IFERROR(목표이익률_지표!$C$35/(원가구조_기준!$C$47*설정값!$D$11),"")</f>
        <v>0.34874927173079384</v>
      </c>
      <c r="D15" s="16">
        <f>IFERROR(목표이익률_지표!$C$81/(대조선박_손익!$C$7*설정값!$D$43),"")</f>
        <v>0.46442606461810787</v>
      </c>
      <c r="E15" s="12" t="s">
        <v>22</v>
      </c>
    </row>
    <row r="16" spans="2:5">
      <c r="B16" s="5" t="s">
        <v>23</v>
      </c>
      <c r="C16" s="13">
        <f>목표이익률_지표!$C$41</f>
        <v>177951.70560211068</v>
      </c>
      <c r="D16" s="13">
        <f>목표이익률_지표!$C$87</f>
        <v>178592.72260931341</v>
      </c>
      <c r="E16" s="12" t="s">
        <v>24</v>
      </c>
    </row>
    <row r="17" spans="2:5">
      <c r="B17" s="12" t="s">
        <v>25</v>
      </c>
      <c r="C17" s="16">
        <f>설정값!$D$19</f>
        <v>0.05</v>
      </c>
      <c r="D17" s="16">
        <f>설정값!$D$44</f>
        <v>0.05</v>
      </c>
      <c r="E17" s="12" t="s">
        <v>26</v>
      </c>
    </row>
    <row r="18" spans="2:5">
      <c r="B18" s="12" t="s">
        <v>27</v>
      </c>
      <c r="C18" s="14">
        <f>IFERROR(목표이익률_지표!$C$41/설정값!$D$11,"")</f>
        <v>357.33274217291302</v>
      </c>
      <c r="D18" s="14">
        <f>IFERROR(목표이익률_지표!$C$87/설정값!$D$43,"")</f>
        <v>297.65453768218902</v>
      </c>
      <c r="E18" s="12"/>
    </row>
    <row r="19" spans="2:5">
      <c r="B19" s="12" t="s">
        <v>28</v>
      </c>
      <c r="C19" s="16">
        <f>IFERROR(목표이익률_지표!$C$41/(원가구조_기준!$C$47*설정값!$D$11),"")</f>
        <v>0.36838427028135362</v>
      </c>
      <c r="D19" s="16">
        <f>IFERROR(목표이익률_지표!$C$87/(대조선박_손익!$C$7*설정값!$D$43),"")</f>
        <v>0.4911791050861205</v>
      </c>
      <c r="E19" s="12"/>
    </row>
    <row r="20" spans="2:5">
      <c r="B20" s="5" t="s">
        <v>29</v>
      </c>
      <c r="C20" s="7">
        <f>설정값!$D$11/설정값!$D$91</f>
        <v>0.68219178082191778</v>
      </c>
      <c r="D20" s="7">
        <f>설정값!$D$43/설정값!$D$91</f>
        <v>0.82191780821917804</v>
      </c>
      <c r="E20" s="12"/>
    </row>
    <row r="21" spans="2:5">
      <c r="B21" s="5" t="s">
        <v>30</v>
      </c>
      <c r="C21" s="13">
        <f>설정값!$D$11</f>
        <v>498</v>
      </c>
      <c r="D21" s="13">
        <f>설정값!$D$43</f>
        <v>600</v>
      </c>
      <c r="E21" s="12"/>
    </row>
    <row r="22" spans="2:5">
      <c r="B22" s="5" t="s">
        <v>31</v>
      </c>
      <c r="C22" s="6">
        <f>원가구조_기준!$C$44</f>
        <v>88950</v>
      </c>
      <c r="D22" s="6">
        <f>대조선박_손익!$C$23</f>
        <v>120000</v>
      </c>
      <c r="E22" s="12" t="s">
        <v>32</v>
      </c>
    </row>
    <row r="23" spans="2:5">
      <c r="B23" s="5" t="s">
        <v>33</v>
      </c>
      <c r="C23" s="6">
        <f>원가구조_기준!$C$7</f>
        <v>13146609166</v>
      </c>
      <c r="D23" s="6">
        <f>대조선박_손익!$C$48</f>
        <v>23000277600</v>
      </c>
      <c r="E23" s="12"/>
    </row>
    <row r="24" spans="2:5">
      <c r="B24" s="8" t="s">
        <v>34</v>
      </c>
      <c r="C24" s="17" t="s">
        <v>35</v>
      </c>
      <c r="D24" s="17">
        <f>대조선박_손익!$C$104</f>
        <v>1.8136159412767672</v>
      </c>
      <c r="E24" s="12" t="s">
        <v>36</v>
      </c>
    </row>
    <row r="25" spans="2:5">
      <c r="B25" s="8" t="s">
        <v>37</v>
      </c>
      <c r="C25" s="6" t="s">
        <v>35</v>
      </c>
      <c r="D25" s="6">
        <f>'10개년_예상'!$O$48</f>
        <v>3348.6993732004003</v>
      </c>
      <c r="E25" s="12" t="s">
        <v>38</v>
      </c>
    </row>
    <row r="26" spans="2:5">
      <c r="B26" s="5" t="s">
        <v>39</v>
      </c>
      <c r="C26" s="18" t="s">
        <v>35</v>
      </c>
      <c r="D26" s="18" t="str">
        <f>대조선박_손익!$C$8</f>
        <v>분석 가능</v>
      </c>
      <c r="E26" s="12"/>
    </row>
    <row r="27" spans="2:5">
      <c r="B27" s="5" t="s">
        <v>40</v>
      </c>
      <c r="C27" s="18" t="str">
        <f>검산!$F$32</f>
        <v>25 / 26 OK</v>
      </c>
      <c r="D27" s="18"/>
      <c r="E27" s="12" t="s">
        <v>1024</v>
      </c>
    </row>
    <row r="29" spans="2:5">
      <c r="B29" s="19" t="s">
        <v>41</v>
      </c>
    </row>
    <row r="30" spans="2:5">
      <c r="B30" s="20" t="s">
        <v>26</v>
      </c>
      <c r="C30" s="3" t="s">
        <v>42</v>
      </c>
    </row>
    <row r="31" spans="2:5">
      <c r="B31" s="20" t="s">
        <v>43</v>
      </c>
      <c r="C31" s="3" t="s">
        <v>44</v>
      </c>
    </row>
    <row r="32" spans="2:5">
      <c r="B32" s="20" t="s">
        <v>45</v>
      </c>
      <c r="C32" s="3" t="s">
        <v>46</v>
      </c>
    </row>
    <row r="33" spans="2:3">
      <c r="B33" s="20" t="s">
        <v>47</v>
      </c>
      <c r="C33" s="3" t="s">
        <v>48</v>
      </c>
    </row>
    <row r="34" spans="2:3">
      <c r="B34" s="20" t="s">
        <v>49</v>
      </c>
      <c r="C34" s="3" t="s">
        <v>50</v>
      </c>
    </row>
    <row r="35" spans="2:3">
      <c r="B35" s="20" t="s">
        <v>51</v>
      </c>
      <c r="C35" s="3" t="s">
        <v>52</v>
      </c>
    </row>
    <row r="36" spans="2:3">
      <c r="B36" s="21" t="s">
        <v>53</v>
      </c>
      <c r="C36" s="3" t="s">
        <v>54</v>
      </c>
    </row>
    <row r="37" spans="2:3">
      <c r="B37" s="20" t="s">
        <v>55</v>
      </c>
      <c r="C37" s="3" t="s">
        <v>56</v>
      </c>
    </row>
    <row r="38" spans="2:3">
      <c r="B38" s="21" t="s">
        <v>57</v>
      </c>
      <c r="C38" s="3" t="s">
        <v>58</v>
      </c>
    </row>
    <row r="39" spans="2:3">
      <c r="B39" s="20" t="s">
        <v>59</v>
      </c>
      <c r="C39" s="22" t="s">
        <v>60</v>
      </c>
    </row>
    <row r="40" spans="2:3">
      <c r="B40" s="20" t="s">
        <v>61</v>
      </c>
      <c r="C40" s="3" t="s">
        <v>62</v>
      </c>
    </row>
    <row r="41" spans="2:3">
      <c r="B41" s="20" t="s">
        <v>63</v>
      </c>
      <c r="C41" s="3" t="s">
        <v>64</v>
      </c>
    </row>
    <row r="42" spans="2:3">
      <c r="B42" s="20" t="s">
        <v>65</v>
      </c>
      <c r="C42" s="3" t="s">
        <v>66</v>
      </c>
    </row>
  </sheetData>
  <phoneticPr fontId="13" type="noConversion"/>
  <hyperlinks>
    <hyperlink ref="B30" r:id="rId1" location="'설정값'!A1" xr:uid="{00000000-0004-0000-0000-000000000000}"/>
    <hyperlink ref="B31" r:id="rId2" location="'손익계산서_원본'!A1" xr:uid="{00000000-0004-0000-0000-000001000000}"/>
    <hyperlink ref="B32" r:id="rId3" location="'주석_보조자료'!A1" xr:uid="{00000000-0004-0000-0000-000002000000}"/>
    <hyperlink ref="B33" r:id="rId4" location="'원가구조_기준'!A1" xr:uid="{00000000-0004-0000-0000-000003000000}"/>
    <hyperlink ref="B34" r:id="rId5" location="'대조선박_손익'!A1" xr:uid="{00000000-0004-0000-0000-000004000000}"/>
    <hyperlink ref="B35" r:id="rId6" location="'차입금_상환'!A1" xr:uid="{00000000-0004-0000-0000-000005000000}"/>
    <hyperlink ref="B36" r:id="rId7" location="'10개년_예상'!A1" xr:uid="{00000000-0004-0000-0000-000006000000}"/>
    <hyperlink ref="B37" r:id="rId8" location="'목표이익률_지표'!A1" xr:uid="{00000000-0004-0000-0000-000007000000}"/>
    <hyperlink ref="B38" r:id="rId9" location="'CVP_손익분기'!A1" xr:uid="{00000000-0004-0000-0000-000008000000}"/>
    <hyperlink ref="B39" r:id="rId10" location="'인건비_부가가치'!A1" xr:uid="{00000000-0004-0000-0000-000009000000}"/>
    <hyperlink ref="B40" r:id="rId11" location="'운임_화물_선박'!A1" xr:uid="{00000000-0004-0000-0000-00000A000000}"/>
    <hyperlink ref="B41" r:id="rId12" location="'검산'!A1" xr:uid="{00000000-0004-0000-0000-00000B000000}"/>
    <hyperlink ref="B42" r:id="rId13" location="'출처_한계'!A1" xr:uid="{00000000-0004-0000-0000-00000C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F95"/>
  <sheetViews>
    <sheetView zoomScale="85" zoomScaleNormal="85" workbookViewId="0">
      <pane ySplit="5" topLeftCell="A69" activePane="bottomLeft" state="frozen"/>
      <selection pane="bottomLeft" activeCell="F100" sqref="F100"/>
    </sheetView>
  </sheetViews>
  <sheetFormatPr defaultColWidth="8.7109375" defaultRowHeight="15"/>
  <cols>
    <col min="1" max="1" width="2" customWidth="1"/>
    <col min="2" max="2" width="22" customWidth="1"/>
    <col min="3" max="3" width="34" customWidth="1"/>
    <col min="4" max="4" width="16" customWidth="1"/>
    <col min="5" max="5" width="10" customWidth="1"/>
    <col min="6" max="6" width="90" customWidth="1"/>
  </cols>
  <sheetData>
    <row r="1" spans="2:6" ht="26.25">
      <c r="B1" s="2" t="s">
        <v>67</v>
      </c>
    </row>
    <row r="2" spans="2:6">
      <c r="B2" s="3" t="s">
        <v>1025</v>
      </c>
    </row>
    <row r="4" spans="2:6">
      <c r="B4" s="19" t="s">
        <v>68</v>
      </c>
      <c r="C4" s="23" t="s">
        <v>69</v>
      </c>
      <c r="D4" s="24" t="s">
        <v>70</v>
      </c>
      <c r="E4" s="12" t="s">
        <v>71</v>
      </c>
      <c r="F4" s="22" t="s">
        <v>72</v>
      </c>
    </row>
    <row r="6" spans="2:6" ht="16.5">
      <c r="B6" s="25" t="s">
        <v>73</v>
      </c>
    </row>
    <row r="7" spans="2:6">
      <c r="B7" s="4" t="s">
        <v>74</v>
      </c>
      <c r="C7" s="4" t="s">
        <v>75</v>
      </c>
      <c r="D7" s="4" t="s">
        <v>76</v>
      </c>
      <c r="E7" s="4" t="s">
        <v>77</v>
      </c>
      <c r="F7" s="4" t="s">
        <v>78</v>
      </c>
    </row>
    <row r="8" spans="2:6">
      <c r="B8" s="3" t="s">
        <v>79</v>
      </c>
      <c r="C8" s="12" t="s">
        <v>80</v>
      </c>
      <c r="D8" s="105">
        <v>30</v>
      </c>
      <c r="E8" s="12" t="s">
        <v>81</v>
      </c>
      <c r="F8" s="3" t="s">
        <v>82</v>
      </c>
    </row>
    <row r="9" spans="2:6">
      <c r="B9" s="3"/>
      <c r="C9" s="12" t="s">
        <v>83</v>
      </c>
      <c r="D9" s="105">
        <v>13</v>
      </c>
      <c r="E9" s="12" t="s">
        <v>81</v>
      </c>
      <c r="F9" s="3" t="s">
        <v>84</v>
      </c>
    </row>
    <row r="10" spans="2:6">
      <c r="B10" s="3"/>
      <c r="C10" s="12" t="s">
        <v>85</v>
      </c>
      <c r="D10" s="105">
        <v>7</v>
      </c>
      <c r="E10" s="12" t="s">
        <v>81</v>
      </c>
      <c r="F10" s="3" t="s">
        <v>86</v>
      </c>
    </row>
    <row r="11" spans="2:6">
      <c r="B11" s="3"/>
      <c r="C11" s="12" t="s">
        <v>87</v>
      </c>
      <c r="D11" s="105">
        <v>498</v>
      </c>
      <c r="E11" s="12" t="s">
        <v>88</v>
      </c>
      <c r="F11" s="3" t="s">
        <v>89</v>
      </c>
    </row>
    <row r="12" spans="2:6">
      <c r="B12" s="3" t="s">
        <v>90</v>
      </c>
      <c r="C12" s="12" t="s">
        <v>91</v>
      </c>
      <c r="D12" s="106">
        <v>81000</v>
      </c>
      <c r="E12" s="12" t="s">
        <v>92</v>
      </c>
      <c r="F12" s="3" t="s">
        <v>93</v>
      </c>
    </row>
    <row r="13" spans="2:6">
      <c r="B13" s="3"/>
      <c r="C13" s="12" t="s">
        <v>94</v>
      </c>
      <c r="D13" s="106">
        <v>7950</v>
      </c>
      <c r="E13" s="12" t="s">
        <v>95</v>
      </c>
      <c r="F13" s="3" t="s">
        <v>96</v>
      </c>
    </row>
    <row r="14" spans="2:6">
      <c r="B14" s="3"/>
      <c r="C14" s="12" t="s">
        <v>97</v>
      </c>
      <c r="D14" s="107">
        <v>1</v>
      </c>
      <c r="E14" s="10" t="s">
        <v>98</v>
      </c>
      <c r="F14" s="3" t="s">
        <v>99</v>
      </c>
    </row>
    <row r="15" spans="2:6">
      <c r="B15" s="3"/>
      <c r="C15" s="12" t="s">
        <v>100</v>
      </c>
      <c r="D15" s="107">
        <v>0</v>
      </c>
      <c r="E15" s="10" t="s">
        <v>98</v>
      </c>
      <c r="F15" s="3" t="s">
        <v>101</v>
      </c>
    </row>
    <row r="16" spans="2:6">
      <c r="B16" s="3"/>
      <c r="C16" s="12" t="s">
        <v>102</v>
      </c>
      <c r="D16" s="107">
        <v>0</v>
      </c>
      <c r="E16" s="10" t="s">
        <v>98</v>
      </c>
      <c r="F16" s="3" t="s">
        <v>103</v>
      </c>
    </row>
    <row r="17" spans="2:6">
      <c r="B17" s="3" t="s">
        <v>104</v>
      </c>
      <c r="C17" s="12" t="s">
        <v>105</v>
      </c>
      <c r="D17" s="106">
        <v>0</v>
      </c>
      <c r="E17" s="12" t="s">
        <v>95</v>
      </c>
      <c r="F17" s="3" t="s">
        <v>106</v>
      </c>
    </row>
    <row r="18" spans="2:6">
      <c r="B18" s="3"/>
      <c r="C18" s="12" t="s">
        <v>107</v>
      </c>
      <c r="D18" s="108" t="s">
        <v>108</v>
      </c>
      <c r="E18" s="10" t="s">
        <v>109</v>
      </c>
      <c r="F18" s="3" t="s">
        <v>110</v>
      </c>
    </row>
    <row r="19" spans="2:6">
      <c r="B19" s="3" t="s">
        <v>111</v>
      </c>
      <c r="C19" s="12" t="s">
        <v>112</v>
      </c>
      <c r="D19" s="107">
        <v>0.05</v>
      </c>
      <c r="E19" s="10" t="s">
        <v>98</v>
      </c>
      <c r="F19" s="3" t="s">
        <v>113</v>
      </c>
    </row>
    <row r="20" spans="2:6">
      <c r="B20" s="3" t="s">
        <v>114</v>
      </c>
      <c r="C20" s="12" t="s">
        <v>115</v>
      </c>
      <c r="D20" s="105"/>
      <c r="E20" s="12" t="s">
        <v>81</v>
      </c>
      <c r="F20" s="3" t="s">
        <v>1026</v>
      </c>
    </row>
    <row r="21" spans="2:6" ht="16.5">
      <c r="B21" s="25" t="s">
        <v>116</v>
      </c>
    </row>
    <row r="22" spans="2:6">
      <c r="B22" s="4" t="s">
        <v>74</v>
      </c>
      <c r="C22" s="4" t="s">
        <v>117</v>
      </c>
      <c r="D22" s="4" t="s">
        <v>118</v>
      </c>
      <c r="E22" s="4" t="s">
        <v>77</v>
      </c>
      <c r="F22" s="4" t="s">
        <v>119</v>
      </c>
    </row>
    <row r="23" spans="2:6">
      <c r="B23" s="3" t="s">
        <v>120</v>
      </c>
      <c r="C23" s="12" t="s">
        <v>121</v>
      </c>
      <c r="D23" s="26">
        <v>0.83779999999999999</v>
      </c>
      <c r="E23" s="10" t="s">
        <v>98</v>
      </c>
      <c r="F23" s="22" t="s">
        <v>122</v>
      </c>
    </row>
    <row r="24" spans="2:6">
      <c r="B24" s="3" t="s">
        <v>120</v>
      </c>
      <c r="C24" s="12" t="s">
        <v>123</v>
      </c>
      <c r="D24" s="26">
        <v>0.1081</v>
      </c>
      <c r="E24" s="10" t="s">
        <v>98</v>
      </c>
      <c r="F24" s="3" t="s">
        <v>124</v>
      </c>
    </row>
    <row r="25" spans="2:6">
      <c r="B25" s="3" t="s">
        <v>125</v>
      </c>
      <c r="C25" s="12" t="s">
        <v>126</v>
      </c>
      <c r="D25" s="26">
        <v>5.1299999999999998E-2</v>
      </c>
      <c r="E25" s="10" t="s">
        <v>98</v>
      </c>
      <c r="F25" s="3" t="s">
        <v>127</v>
      </c>
    </row>
    <row r="26" spans="2:6">
      <c r="B26" s="3" t="s">
        <v>125</v>
      </c>
      <c r="C26" s="12" t="s">
        <v>128</v>
      </c>
      <c r="D26" s="26">
        <v>0</v>
      </c>
      <c r="E26" s="10" t="s">
        <v>98</v>
      </c>
      <c r="F26" s="3" t="s">
        <v>129</v>
      </c>
    </row>
    <row r="27" spans="2:6">
      <c r="B27" s="3" t="s">
        <v>125</v>
      </c>
      <c r="C27" s="12" t="s">
        <v>130</v>
      </c>
      <c r="D27" s="26">
        <v>2.7000000000000001E-3</v>
      </c>
      <c r="E27" s="10" t="s">
        <v>98</v>
      </c>
      <c r="F27" s="3" t="s">
        <v>131</v>
      </c>
    </row>
    <row r="28" spans="2:6" ht="16.5">
      <c r="B28" s="25" t="s">
        <v>132</v>
      </c>
    </row>
    <row r="29" spans="2:6">
      <c r="B29" s="4" t="s">
        <v>133</v>
      </c>
      <c r="C29" s="4" t="s">
        <v>134</v>
      </c>
      <c r="D29" s="4" t="s">
        <v>135</v>
      </c>
      <c r="E29" s="4" t="s">
        <v>136</v>
      </c>
      <c r="F29" s="4" t="s">
        <v>137</v>
      </c>
    </row>
    <row r="30" spans="2:6">
      <c r="B30" s="3" t="s">
        <v>138</v>
      </c>
      <c r="C30" s="12" t="s">
        <v>139</v>
      </c>
      <c r="D30" s="27" t="s">
        <v>140</v>
      </c>
      <c r="E30" s="28" t="s">
        <v>141</v>
      </c>
      <c r="F30" s="3" t="s">
        <v>142</v>
      </c>
    </row>
    <row r="31" spans="2:6">
      <c r="B31" s="3" t="s">
        <v>138</v>
      </c>
      <c r="C31" s="12" t="s">
        <v>143</v>
      </c>
      <c r="D31" s="27" t="s">
        <v>140</v>
      </c>
      <c r="E31" s="28" t="s">
        <v>141</v>
      </c>
      <c r="F31" s="22" t="s">
        <v>144</v>
      </c>
    </row>
    <row r="32" spans="2:6">
      <c r="B32" s="3" t="s">
        <v>138</v>
      </c>
      <c r="C32" s="12" t="s">
        <v>145</v>
      </c>
      <c r="D32" s="27" t="s">
        <v>140</v>
      </c>
      <c r="E32" s="28" t="s">
        <v>141</v>
      </c>
      <c r="F32" s="3"/>
    </row>
    <row r="33" spans="2:6">
      <c r="B33" s="3" t="s">
        <v>138</v>
      </c>
      <c r="C33" s="12" t="s">
        <v>146</v>
      </c>
      <c r="D33" s="27" t="s">
        <v>140</v>
      </c>
      <c r="E33" s="28" t="s">
        <v>147</v>
      </c>
      <c r="F33" s="3" t="s">
        <v>148</v>
      </c>
    </row>
    <row r="34" spans="2:6">
      <c r="B34" s="3" t="s">
        <v>149</v>
      </c>
      <c r="C34" s="12" t="s">
        <v>150</v>
      </c>
      <c r="D34" s="27" t="s">
        <v>140</v>
      </c>
      <c r="E34" s="28" t="s">
        <v>141</v>
      </c>
      <c r="F34" s="3" t="s">
        <v>151</v>
      </c>
    </row>
    <row r="35" spans="2:6">
      <c r="B35" s="3" t="s">
        <v>149</v>
      </c>
      <c r="C35" s="12" t="s">
        <v>152</v>
      </c>
      <c r="D35" s="27" t="s">
        <v>140</v>
      </c>
      <c r="E35" s="28" t="s">
        <v>141</v>
      </c>
      <c r="F35" s="3"/>
    </row>
    <row r="36" spans="2:6">
      <c r="B36" s="3" t="s">
        <v>149</v>
      </c>
      <c r="C36" s="12" t="s">
        <v>153</v>
      </c>
      <c r="D36" s="27" t="s">
        <v>140</v>
      </c>
      <c r="E36" s="28" t="s">
        <v>154</v>
      </c>
      <c r="F36" s="3" t="s">
        <v>155</v>
      </c>
    </row>
    <row r="37" spans="2:6" ht="16.5">
      <c r="B37" s="25" t="s">
        <v>156</v>
      </c>
    </row>
    <row r="38" spans="2:6">
      <c r="B38" s="4" t="s">
        <v>74</v>
      </c>
      <c r="C38" s="4" t="s">
        <v>75</v>
      </c>
      <c r="D38" s="109" t="s">
        <v>76</v>
      </c>
      <c r="E38" s="4" t="s">
        <v>77</v>
      </c>
      <c r="F38" s="4" t="s">
        <v>78</v>
      </c>
    </row>
    <row r="39" spans="2:6">
      <c r="B39" s="12" t="s">
        <v>157</v>
      </c>
      <c r="C39" s="12" t="s">
        <v>158</v>
      </c>
      <c r="D39" s="110" t="s">
        <v>159</v>
      </c>
      <c r="E39" s="12"/>
      <c r="F39" s="12" t="s">
        <v>160</v>
      </c>
    </row>
    <row r="40" spans="2:6">
      <c r="B40" s="12" t="s">
        <v>79</v>
      </c>
      <c r="C40" s="12" t="s">
        <v>80</v>
      </c>
      <c r="D40" s="105">
        <v>30</v>
      </c>
      <c r="E40" s="12" t="s">
        <v>81</v>
      </c>
      <c r="F40" s="12" t="s">
        <v>161</v>
      </c>
    </row>
    <row r="41" spans="2:6">
      <c r="B41" s="12"/>
      <c r="C41" s="12" t="s">
        <v>83</v>
      </c>
      <c r="D41" s="105">
        <v>13</v>
      </c>
      <c r="E41" s="12" t="s">
        <v>81</v>
      </c>
      <c r="F41" s="12" t="s">
        <v>162</v>
      </c>
    </row>
    <row r="42" spans="2:6">
      <c r="B42" s="12"/>
      <c r="C42" s="12" t="s">
        <v>85</v>
      </c>
      <c r="D42" s="105">
        <v>7</v>
      </c>
      <c r="E42" s="12" t="s">
        <v>81</v>
      </c>
      <c r="F42" s="12" t="s">
        <v>163</v>
      </c>
    </row>
    <row r="43" spans="2:6">
      <c r="B43" s="12"/>
      <c r="C43" s="12" t="s">
        <v>87</v>
      </c>
      <c r="D43" s="105">
        <v>600</v>
      </c>
      <c r="E43" s="12" t="s">
        <v>88</v>
      </c>
      <c r="F43" s="12" t="s">
        <v>164</v>
      </c>
    </row>
    <row r="44" spans="2:6">
      <c r="B44" s="12" t="s">
        <v>111</v>
      </c>
      <c r="C44" s="12" t="s">
        <v>112</v>
      </c>
      <c r="D44" s="107">
        <v>0.05</v>
      </c>
      <c r="E44" s="10" t="s">
        <v>98</v>
      </c>
      <c r="F44" s="12" t="s">
        <v>165</v>
      </c>
    </row>
    <row r="45" spans="2:6">
      <c r="B45" s="12" t="s">
        <v>166</v>
      </c>
      <c r="C45" s="12" t="s">
        <v>167</v>
      </c>
      <c r="D45" s="105">
        <v>820</v>
      </c>
      <c r="E45" s="10" t="s">
        <v>168</v>
      </c>
      <c r="F45" s="10" t="s">
        <v>169</v>
      </c>
    </row>
    <row r="46" spans="2:6">
      <c r="B46" s="12"/>
      <c r="C46" s="12" t="s">
        <v>170</v>
      </c>
      <c r="D46" s="105">
        <v>1490</v>
      </c>
      <c r="E46" s="10" t="s">
        <v>168</v>
      </c>
      <c r="F46" s="10" t="s">
        <v>171</v>
      </c>
    </row>
    <row r="47" spans="2:6">
      <c r="B47" s="12"/>
      <c r="C47" s="12" t="s">
        <v>172</v>
      </c>
      <c r="D47" s="111">
        <v>1360</v>
      </c>
      <c r="E47" s="12" t="s">
        <v>173</v>
      </c>
      <c r="F47" s="12" t="s">
        <v>163</v>
      </c>
    </row>
    <row r="48" spans="2:6">
      <c r="B48" s="12"/>
      <c r="C48" s="12" t="s">
        <v>174</v>
      </c>
      <c r="D48" s="111">
        <v>1346.24</v>
      </c>
      <c r="E48" s="12" t="s">
        <v>173</v>
      </c>
      <c r="F48" s="10" t="s">
        <v>175</v>
      </c>
    </row>
    <row r="49" spans="2:6">
      <c r="B49" s="12"/>
      <c r="C49" s="12" t="s">
        <v>176</v>
      </c>
      <c r="D49" s="108" t="s">
        <v>140</v>
      </c>
      <c r="E49" s="10" t="s">
        <v>109</v>
      </c>
      <c r="F49" s="12" t="s">
        <v>177</v>
      </c>
    </row>
    <row r="50" spans="2:6">
      <c r="B50" s="12" t="s">
        <v>178</v>
      </c>
      <c r="C50" s="12" t="s">
        <v>179</v>
      </c>
      <c r="D50" s="105">
        <v>50000</v>
      </c>
      <c r="E50" s="12" t="s">
        <v>180</v>
      </c>
      <c r="F50" s="12" t="s">
        <v>181</v>
      </c>
    </row>
    <row r="51" spans="2:6">
      <c r="B51" s="12"/>
      <c r="C51" s="12" t="s">
        <v>182</v>
      </c>
      <c r="D51" s="105">
        <v>20</v>
      </c>
      <c r="E51" s="12" t="s">
        <v>183</v>
      </c>
      <c r="F51" s="12" t="s">
        <v>184</v>
      </c>
    </row>
    <row r="52" spans="2:6">
      <c r="B52" s="12"/>
      <c r="C52" s="12" t="s">
        <v>185</v>
      </c>
      <c r="D52" s="107">
        <v>0.1</v>
      </c>
      <c r="E52" s="10" t="s">
        <v>98</v>
      </c>
      <c r="F52" s="12"/>
    </row>
    <row r="53" spans="2:6">
      <c r="B53" s="12" t="s">
        <v>186</v>
      </c>
      <c r="C53" s="12" t="s">
        <v>186</v>
      </c>
      <c r="D53" s="105">
        <v>20000</v>
      </c>
      <c r="E53" s="12" t="s">
        <v>180</v>
      </c>
      <c r="F53" s="12" t="s">
        <v>187</v>
      </c>
    </row>
    <row r="54" spans="2:6">
      <c r="B54" s="12"/>
      <c r="C54" s="12" t="s">
        <v>188</v>
      </c>
      <c r="D54" s="107">
        <v>3.5000000000000003E-2</v>
      </c>
      <c r="E54" s="10" t="s">
        <v>98</v>
      </c>
      <c r="F54" s="12"/>
    </row>
    <row r="55" spans="2:6">
      <c r="B55" s="12"/>
      <c r="C55" s="12" t="s">
        <v>189</v>
      </c>
      <c r="D55" s="105">
        <v>15</v>
      </c>
      <c r="E55" s="12" t="s">
        <v>183</v>
      </c>
      <c r="F55" s="12"/>
    </row>
    <row r="56" spans="2:6">
      <c r="B56" s="12"/>
      <c r="C56" s="12" t="s">
        <v>190</v>
      </c>
      <c r="D56" s="105">
        <v>3</v>
      </c>
      <c r="E56" s="12" t="s">
        <v>183</v>
      </c>
      <c r="F56" s="12" t="s">
        <v>191</v>
      </c>
    </row>
    <row r="57" spans="2:6">
      <c r="B57" s="12"/>
      <c r="C57" s="12" t="s">
        <v>192</v>
      </c>
      <c r="D57" s="110" t="s">
        <v>193</v>
      </c>
      <c r="E57" s="12"/>
      <c r="F57" s="12" t="s">
        <v>194</v>
      </c>
    </row>
    <row r="58" spans="2:6">
      <c r="B58" s="12" t="s">
        <v>114</v>
      </c>
      <c r="C58" s="12" t="s">
        <v>195</v>
      </c>
      <c r="D58" s="107">
        <v>0.5</v>
      </c>
      <c r="E58" s="10" t="s">
        <v>98</v>
      </c>
      <c r="F58" s="12" t="s">
        <v>196</v>
      </c>
    </row>
    <row r="59" spans="2:6">
      <c r="B59" s="12"/>
      <c r="C59" s="12" t="s">
        <v>197</v>
      </c>
      <c r="D59" s="108" t="s">
        <v>108</v>
      </c>
      <c r="E59" s="10" t="s">
        <v>109</v>
      </c>
      <c r="F59" s="10" t="s">
        <v>198</v>
      </c>
    </row>
    <row r="60" spans="2:6">
      <c r="B60" s="12"/>
      <c r="C60" s="12" t="s">
        <v>199</v>
      </c>
      <c r="D60" s="105"/>
      <c r="E60" s="12" t="s">
        <v>81</v>
      </c>
      <c r="F60" s="10" t="s">
        <v>200</v>
      </c>
    </row>
    <row r="61" spans="2:6">
      <c r="B61" s="12" t="s">
        <v>90</v>
      </c>
      <c r="C61" s="12" t="s">
        <v>201</v>
      </c>
      <c r="D61" s="106">
        <v>90000</v>
      </c>
      <c r="E61" s="12" t="s">
        <v>92</v>
      </c>
      <c r="F61" s="12" t="s">
        <v>163</v>
      </c>
    </row>
    <row r="62" spans="2:6">
      <c r="B62" s="12"/>
      <c r="C62" s="12" t="s">
        <v>94</v>
      </c>
      <c r="D62" s="106">
        <v>30000</v>
      </c>
      <c r="E62" s="12" t="s">
        <v>95</v>
      </c>
      <c r="F62" s="12" t="s">
        <v>163</v>
      </c>
    </row>
    <row r="63" spans="2:6">
      <c r="B63" s="12"/>
      <c r="C63" s="12" t="s">
        <v>97</v>
      </c>
      <c r="D63" s="107">
        <v>1</v>
      </c>
      <c r="E63" s="10" t="s">
        <v>98</v>
      </c>
      <c r="F63" s="12" t="s">
        <v>202</v>
      </c>
    </row>
    <row r="64" spans="2:6">
      <c r="B64" s="12"/>
      <c r="C64" s="12" t="s">
        <v>100</v>
      </c>
      <c r="D64" s="107">
        <v>0</v>
      </c>
      <c r="E64" s="10" t="s">
        <v>98</v>
      </c>
      <c r="F64" s="12"/>
    </row>
    <row r="65" spans="2:6">
      <c r="B65" s="12"/>
      <c r="C65" s="12" t="s">
        <v>102</v>
      </c>
      <c r="D65" s="107">
        <v>0</v>
      </c>
      <c r="E65" s="10" t="s">
        <v>98</v>
      </c>
      <c r="F65" s="12"/>
    </row>
    <row r="66" spans="2:6">
      <c r="B66" s="12" t="s">
        <v>203</v>
      </c>
      <c r="C66" s="12" t="s">
        <v>204</v>
      </c>
      <c r="D66" s="107">
        <v>0.3</v>
      </c>
      <c r="E66" s="10" t="s">
        <v>98</v>
      </c>
      <c r="F66" s="12" t="s">
        <v>205</v>
      </c>
    </row>
    <row r="67" spans="2:6">
      <c r="B67" s="12"/>
      <c r="C67" s="12" t="s">
        <v>206</v>
      </c>
      <c r="D67" s="112">
        <v>4</v>
      </c>
      <c r="E67" s="10" t="s">
        <v>207</v>
      </c>
      <c r="F67" s="10" t="s">
        <v>208</v>
      </c>
    </row>
    <row r="68" spans="2:6" ht="16.5">
      <c r="B68" s="25" t="s">
        <v>1023</v>
      </c>
    </row>
    <row r="69" spans="2:6">
      <c r="B69" s="4" t="s">
        <v>74</v>
      </c>
      <c r="C69" s="4" t="s">
        <v>209</v>
      </c>
      <c r="D69" s="4" t="s">
        <v>210</v>
      </c>
      <c r="E69" s="4" t="s">
        <v>77</v>
      </c>
      <c r="F69" s="4" t="s">
        <v>137</v>
      </c>
    </row>
    <row r="70" spans="2:6">
      <c r="B70" s="12" t="s">
        <v>211</v>
      </c>
      <c r="C70" s="12" t="s">
        <v>212</v>
      </c>
      <c r="D70" s="26">
        <v>2.7E-2</v>
      </c>
      <c r="E70" s="10" t="s">
        <v>213</v>
      </c>
      <c r="F70" s="12"/>
    </row>
    <row r="71" spans="2:6">
      <c r="B71" s="12"/>
      <c r="C71" s="12" t="s">
        <v>214</v>
      </c>
      <c r="D71" s="26">
        <v>1.7999999999999999E-2</v>
      </c>
      <c r="E71" s="10" t="s">
        <v>213</v>
      </c>
      <c r="F71" s="12"/>
    </row>
    <row r="72" spans="2:6">
      <c r="B72" s="12"/>
      <c r="C72" s="12" t="s">
        <v>215</v>
      </c>
      <c r="D72" s="26">
        <v>0</v>
      </c>
      <c r="E72" s="10" t="s">
        <v>213</v>
      </c>
      <c r="F72" s="12"/>
    </row>
    <row r="73" spans="2:6">
      <c r="B73" s="12" t="s">
        <v>216</v>
      </c>
      <c r="C73" s="12" t="s">
        <v>217</v>
      </c>
      <c r="D73" s="26">
        <v>2.7099999999999999E-2</v>
      </c>
      <c r="E73" s="10" t="s">
        <v>213</v>
      </c>
      <c r="F73" s="12"/>
    </row>
    <row r="74" spans="2:6">
      <c r="B74" s="12"/>
      <c r="C74" s="12" t="s">
        <v>218</v>
      </c>
      <c r="D74" s="26">
        <v>2.7099999999999999E-2</v>
      </c>
      <c r="E74" s="10" t="s">
        <v>213</v>
      </c>
      <c r="F74" s="12"/>
    </row>
    <row r="75" spans="2:6">
      <c r="B75" s="12"/>
      <c r="C75" s="12" t="s">
        <v>219</v>
      </c>
      <c r="D75" s="26">
        <v>2.4E-2</v>
      </c>
      <c r="E75" s="10" t="s">
        <v>213</v>
      </c>
      <c r="F75" s="12"/>
    </row>
    <row r="76" spans="2:6">
      <c r="B76" s="12" t="s">
        <v>220</v>
      </c>
      <c r="C76" s="12" t="s">
        <v>221</v>
      </c>
      <c r="D76" s="26">
        <v>0</v>
      </c>
      <c r="E76" s="10" t="s">
        <v>213</v>
      </c>
      <c r="F76" s="12" t="s">
        <v>222</v>
      </c>
    </row>
    <row r="77" spans="2:6">
      <c r="B77" s="12"/>
      <c r="C77" s="12" t="s">
        <v>223</v>
      </c>
      <c r="D77" s="26">
        <v>2.92E-2</v>
      </c>
      <c r="E77" s="10" t="s">
        <v>213</v>
      </c>
      <c r="F77" s="12"/>
    </row>
    <row r="78" spans="2:6">
      <c r="B78" s="12"/>
      <c r="C78" s="12" t="s">
        <v>224</v>
      </c>
      <c r="D78" s="26">
        <v>0</v>
      </c>
      <c r="E78" s="10" t="s">
        <v>213</v>
      </c>
      <c r="F78" s="12"/>
    </row>
    <row r="79" spans="2:6">
      <c r="B79" s="12" t="s">
        <v>225</v>
      </c>
      <c r="C79" s="12" t="s">
        <v>121</v>
      </c>
      <c r="D79" s="26">
        <v>-8.8999999999999999E-3</v>
      </c>
      <c r="E79" s="10" t="s">
        <v>213</v>
      </c>
      <c r="F79" s="12"/>
    </row>
    <row r="80" spans="2:6">
      <c r="B80" s="12"/>
      <c r="C80" s="12" t="s">
        <v>123</v>
      </c>
      <c r="D80" s="26">
        <v>7.85E-2</v>
      </c>
      <c r="E80" s="10" t="s">
        <v>213</v>
      </c>
      <c r="F80" s="12"/>
    </row>
    <row r="81" spans="2:6">
      <c r="B81" s="12"/>
      <c r="C81" s="12" t="s">
        <v>126</v>
      </c>
      <c r="D81" s="26">
        <v>3.8199999999999998E-2</v>
      </c>
      <c r="E81" s="10" t="s">
        <v>213</v>
      </c>
      <c r="F81" s="12"/>
    </row>
    <row r="82" spans="2:6">
      <c r="B82" s="12"/>
      <c r="C82" s="12" t="s">
        <v>128</v>
      </c>
      <c r="D82" s="26">
        <v>0</v>
      </c>
      <c r="E82" s="10" t="s">
        <v>213</v>
      </c>
      <c r="F82" s="12"/>
    </row>
    <row r="83" spans="2:6">
      <c r="B83" s="12"/>
      <c r="C83" s="12" t="s">
        <v>130</v>
      </c>
      <c r="D83" s="26">
        <v>0.15</v>
      </c>
      <c r="E83" s="10" t="s">
        <v>213</v>
      </c>
      <c r="F83" s="12"/>
    </row>
    <row r="84" spans="2:6">
      <c r="B84" s="12" t="s">
        <v>226</v>
      </c>
      <c r="C84" s="12" t="s">
        <v>227</v>
      </c>
      <c r="D84" s="26">
        <v>5.6800000000000003E-2</v>
      </c>
      <c r="E84" s="10" t="s">
        <v>213</v>
      </c>
      <c r="F84" s="12"/>
    </row>
    <row r="85" spans="2:6">
      <c r="B85" s="12"/>
      <c r="C85" s="12" t="s">
        <v>223</v>
      </c>
      <c r="D85" s="26">
        <v>2.92E-2</v>
      </c>
      <c r="E85" s="10" t="s">
        <v>213</v>
      </c>
      <c r="F85" s="12"/>
    </row>
    <row r="86" spans="2:6">
      <c r="B86" s="12"/>
      <c r="C86" s="12" t="s">
        <v>153</v>
      </c>
      <c r="D86" s="26">
        <v>2.3400000000000001E-2</v>
      </c>
      <c r="E86" s="10" t="s">
        <v>213</v>
      </c>
      <c r="F86" s="12"/>
    </row>
    <row r="87" spans="2:6">
      <c r="B87" s="12"/>
      <c r="C87" s="12" t="s">
        <v>228</v>
      </c>
      <c r="D87" s="26">
        <v>2.7E-2</v>
      </c>
      <c r="E87" s="10" t="s">
        <v>213</v>
      </c>
      <c r="F87" s="12"/>
    </row>
    <row r="88" spans="2:6" ht="16.5">
      <c r="B88" s="25" t="s">
        <v>1027</v>
      </c>
    </row>
    <row r="89" spans="2:6">
      <c r="B89" s="4" t="s">
        <v>74</v>
      </c>
      <c r="C89" s="4" t="s">
        <v>75</v>
      </c>
      <c r="D89" s="4" t="s">
        <v>76</v>
      </c>
      <c r="E89" s="4" t="s">
        <v>77</v>
      </c>
      <c r="F89" s="4" t="s">
        <v>137</v>
      </c>
    </row>
    <row r="90" spans="2:6">
      <c r="B90" s="12" t="s">
        <v>79</v>
      </c>
      <c r="C90" s="12" t="s">
        <v>229</v>
      </c>
      <c r="D90" s="29">
        <v>30</v>
      </c>
      <c r="E90" s="12" t="s">
        <v>81</v>
      </c>
      <c r="F90" s="3" t="s">
        <v>230</v>
      </c>
    </row>
    <row r="91" spans="2:6">
      <c r="B91" s="12" t="s">
        <v>231</v>
      </c>
      <c r="C91" s="12" t="s">
        <v>232</v>
      </c>
      <c r="D91" s="29">
        <v>730</v>
      </c>
      <c r="E91" s="12" t="s">
        <v>233</v>
      </c>
      <c r="F91" s="3" t="s">
        <v>234</v>
      </c>
    </row>
    <row r="92" spans="2:6">
      <c r="B92" s="12" t="s">
        <v>235</v>
      </c>
      <c r="C92" s="12" t="s">
        <v>236</v>
      </c>
      <c r="D92" s="29">
        <v>217</v>
      </c>
      <c r="E92" s="10" t="s">
        <v>237</v>
      </c>
      <c r="F92" s="3" t="s">
        <v>238</v>
      </c>
    </row>
    <row r="93" spans="2:6">
      <c r="B93" s="12"/>
      <c r="C93" s="12" t="s">
        <v>239</v>
      </c>
      <c r="D93" s="30">
        <v>49.5</v>
      </c>
      <c r="E93" s="10" t="s">
        <v>240</v>
      </c>
      <c r="F93" s="3" t="s">
        <v>241</v>
      </c>
    </row>
    <row r="94" spans="2:6">
      <c r="B94" s="12"/>
      <c r="C94" s="12" t="s">
        <v>242</v>
      </c>
      <c r="D94" s="31">
        <v>0.86</v>
      </c>
      <c r="E94" s="10" t="s">
        <v>243</v>
      </c>
      <c r="F94" s="3" t="s">
        <v>244</v>
      </c>
    </row>
    <row r="95" spans="2:6">
      <c r="B95" s="12"/>
      <c r="C95" s="12" t="s">
        <v>245</v>
      </c>
      <c r="D95" s="32" t="s">
        <v>246</v>
      </c>
      <c r="E95" s="12"/>
      <c r="F95" s="3" t="s">
        <v>1028</v>
      </c>
    </row>
  </sheetData>
  <phoneticPr fontId="13" type="noConversion"/>
  <dataValidations count="4">
    <dataValidation type="list" sqref="D18 D30:D36 D49 D59" xr:uid="{00000000-0002-0000-0100-000000000000}">
      <formula1>"O,X"</formula1>
      <formula2>0</formula2>
    </dataValidation>
    <dataValidation type="list" sqref="E30:E36" xr:uid="{00000000-0002-0000-0100-000001000000}">
      <formula1>"고정,준변동,변동"</formula1>
      <formula2>0</formula2>
    </dataValidation>
    <dataValidation type="list" sqref="D57" xr:uid="{00000000-0002-0000-0100-000002000000}">
      <formula1>"원리금균등,원금균등,만기일시"</formula1>
      <formula2>0</formula2>
    </dataValidation>
    <dataValidation type="list" sqref="D67" xr:uid="{00000000-0002-0000-0100-000004000000}">
      <formula1>"1,2,3,4,5"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3000000}">
          <x14:formula1>
            <xm:f>운임_화물_선박!$B$18:$B$21</xm:f>
          </x14:formula1>
          <x14:formula2>
            <xm:f>0</xm:f>
          </x14:formula2>
          <xm:sqref>D39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72"/>
  <sheetViews>
    <sheetView zoomScale="85" zoomScaleNormal="85" workbookViewId="0">
      <pane xSplit="3" ySplit="4" topLeftCell="D25" activePane="bottomRight" state="frozen"/>
      <selection pane="topRight" activeCell="D1" sqref="D1"/>
      <selection pane="bottomLeft" activeCell="A5" sqref="A5"/>
      <selection pane="bottomRight" activeCell="B19" sqref="B19:B23"/>
    </sheetView>
  </sheetViews>
  <sheetFormatPr defaultColWidth="8.7109375" defaultRowHeight="15"/>
  <cols>
    <col min="1" max="1" width="2" customWidth="1"/>
    <col min="2" max="2" width="8" customWidth="1"/>
    <col min="3" max="3" width="40" customWidth="1"/>
    <col min="4" max="4" width="18" customWidth="1"/>
    <col min="5" max="6" width="10" customWidth="1"/>
    <col min="7" max="7" width="18" customWidth="1"/>
    <col min="8" max="9" width="10" customWidth="1"/>
    <col min="10" max="10" width="17" customWidth="1"/>
    <col min="11" max="11" width="44" customWidth="1"/>
  </cols>
  <sheetData>
    <row r="1" spans="2:11" ht="26.25">
      <c r="B1" s="2" t="s">
        <v>247</v>
      </c>
    </row>
    <row r="2" spans="2:11">
      <c r="B2" s="22" t="s">
        <v>248</v>
      </c>
    </row>
    <row r="4" spans="2:11">
      <c r="B4" s="4" t="s">
        <v>249</v>
      </c>
      <c r="C4" s="4" t="s">
        <v>250</v>
      </c>
      <c r="D4" s="4" t="s">
        <v>251</v>
      </c>
      <c r="E4" s="4" t="s">
        <v>252</v>
      </c>
      <c r="F4" s="4" t="s">
        <v>253</v>
      </c>
      <c r="G4" s="4" t="s">
        <v>254</v>
      </c>
      <c r="H4" s="4" t="s">
        <v>252</v>
      </c>
      <c r="I4" s="4" t="s">
        <v>253</v>
      </c>
      <c r="J4" s="4" t="s">
        <v>255</v>
      </c>
      <c r="K4" s="4" t="s">
        <v>256</v>
      </c>
    </row>
    <row r="5" spans="2:11">
      <c r="B5" s="33" t="s">
        <v>75</v>
      </c>
      <c r="C5" s="8" t="s">
        <v>257</v>
      </c>
      <c r="D5" s="34">
        <f>SUM(D6:D9)</f>
        <v>13146609166</v>
      </c>
      <c r="E5" s="35"/>
      <c r="F5" s="36">
        <f t="shared" ref="F5:F36" si="0">IF(D5="","",D5/D$5)</f>
        <v>1</v>
      </c>
      <c r="G5" s="34">
        <f>SUM(G6:G9)</f>
        <v>5596485400</v>
      </c>
      <c r="H5" s="35"/>
      <c r="I5" s="36">
        <f t="shared" ref="I5:I18" si="1">IF(G5="","",G5/G$5)</f>
        <v>1</v>
      </c>
      <c r="J5" s="37">
        <f t="shared" ref="J5:J18" si="2">IF(OR(D5="",G5=""),"",D5-G5)</f>
        <v>7550123766</v>
      </c>
      <c r="K5" s="12" t="s">
        <v>258</v>
      </c>
    </row>
    <row r="6" spans="2:11">
      <c r="B6" s="38" t="s">
        <v>259</v>
      </c>
      <c r="C6" s="39" t="s">
        <v>212</v>
      </c>
      <c r="D6" s="40">
        <v>12813966995</v>
      </c>
      <c r="E6" s="41">
        <f>IF(OR(D6="",D5=0),"",D6/D5)</f>
        <v>0.9746974929580865</v>
      </c>
      <c r="F6" s="41">
        <f t="shared" si="0"/>
        <v>0.9746974929580865</v>
      </c>
      <c r="G6" s="40">
        <v>5527657183</v>
      </c>
      <c r="H6" s="41">
        <f>IF(OR(G6="",G5=0),"",G6/G5)</f>
        <v>0.98770152835563552</v>
      </c>
      <c r="I6" s="41">
        <f t="shared" si="1"/>
        <v>0.98770152835563552</v>
      </c>
      <c r="J6" s="40">
        <f t="shared" si="2"/>
        <v>7286309812</v>
      </c>
      <c r="K6" s="12"/>
    </row>
    <row r="7" spans="2:11">
      <c r="B7" s="38" t="s">
        <v>259</v>
      </c>
      <c r="C7" s="39" t="s">
        <v>214</v>
      </c>
      <c r="D7" s="40">
        <v>323042171</v>
      </c>
      <c r="E7" s="41">
        <f>IF(OR(D7="",D5=0),"",D7/D5)</f>
        <v>2.4572280724329855E-2</v>
      </c>
      <c r="F7" s="41">
        <f t="shared" si="0"/>
        <v>2.4572280724329855E-2</v>
      </c>
      <c r="G7" s="40">
        <v>52186526</v>
      </c>
      <c r="H7" s="41">
        <f>IF(OR(G7="",G5=0),"",G7/G5)</f>
        <v>9.3248748580671715E-3</v>
      </c>
      <c r="I7" s="41">
        <f t="shared" si="1"/>
        <v>9.3248748580671715E-3</v>
      </c>
      <c r="J7" s="40">
        <f t="shared" si="2"/>
        <v>270855645</v>
      </c>
      <c r="K7" s="12"/>
    </row>
    <row r="8" spans="2:11">
      <c r="B8" s="38" t="s">
        <v>259</v>
      </c>
      <c r="C8" s="39" t="s">
        <v>215</v>
      </c>
      <c r="D8" s="40">
        <v>9600000</v>
      </c>
      <c r="E8" s="41">
        <f>IF(OR(D8="",D5=0),"",D8/D5)</f>
        <v>7.302263175836774E-4</v>
      </c>
      <c r="F8" s="41">
        <f t="shared" si="0"/>
        <v>7.302263175836774E-4</v>
      </c>
      <c r="G8" s="40">
        <v>5732600</v>
      </c>
      <c r="H8" s="41">
        <f>IF(OR(G8="",G5=0),"",G8/G5)</f>
        <v>1.0243214428827063E-3</v>
      </c>
      <c r="I8" s="41">
        <f t="shared" si="1"/>
        <v>1.0243214428827063E-3</v>
      </c>
      <c r="J8" s="40">
        <f t="shared" si="2"/>
        <v>3867400</v>
      </c>
      <c r="K8" s="12"/>
    </row>
    <row r="9" spans="2:11">
      <c r="B9" s="38" t="s">
        <v>259</v>
      </c>
      <c r="C9" s="39" t="s">
        <v>260</v>
      </c>
      <c r="D9" s="40"/>
      <c r="E9" s="41" t="str">
        <f>IF(OR(D9="",D5=0),"",D9/D5)</f>
        <v/>
      </c>
      <c r="F9" s="41" t="str">
        <f t="shared" si="0"/>
        <v/>
      </c>
      <c r="G9" s="40">
        <v>10909091</v>
      </c>
      <c r="H9" s="41">
        <f>IF(OR(G9="",G5=0),"",G9/G5)</f>
        <v>1.9492753434146367E-3</v>
      </c>
      <c r="I9" s="41">
        <f t="shared" si="1"/>
        <v>1.9492753434146367E-3</v>
      </c>
      <c r="J9" s="40" t="str">
        <f t="shared" si="2"/>
        <v/>
      </c>
      <c r="K9" s="12"/>
    </row>
    <row r="10" spans="2:11">
      <c r="B10" s="33" t="s">
        <v>75</v>
      </c>
      <c r="C10" s="8" t="s">
        <v>261</v>
      </c>
      <c r="D10" s="34">
        <f>D11</f>
        <v>12246808749</v>
      </c>
      <c r="E10" s="35"/>
      <c r="F10" s="36">
        <f t="shared" si="0"/>
        <v>0.93155646405560755</v>
      </c>
      <c r="G10" s="34">
        <f>G11</f>
        <v>6725627421</v>
      </c>
      <c r="H10" s="35"/>
      <c r="I10" s="36">
        <f t="shared" si="1"/>
        <v>1.2017591292206355</v>
      </c>
      <c r="J10" s="37">
        <f t="shared" si="2"/>
        <v>5521181328</v>
      </c>
      <c r="K10" s="12" t="s">
        <v>262</v>
      </c>
    </row>
    <row r="11" spans="2:11">
      <c r="B11" s="38" t="s">
        <v>259</v>
      </c>
      <c r="C11" s="39" t="s">
        <v>138</v>
      </c>
      <c r="D11" s="40">
        <v>12246808749</v>
      </c>
      <c r="E11" s="41">
        <f>IF(OR(D11="",D10=0),"",D11/D10)</f>
        <v>1</v>
      </c>
      <c r="F11" s="41">
        <f t="shared" si="0"/>
        <v>0.93155646405560755</v>
      </c>
      <c r="G11" s="40">
        <v>6725627421</v>
      </c>
      <c r="H11" s="41">
        <f>IF(OR(G11="",G10=0),"",G11/G10)</f>
        <v>1</v>
      </c>
      <c r="I11" s="41">
        <f t="shared" si="1"/>
        <v>1.2017591292206355</v>
      </c>
      <c r="J11" s="40">
        <f t="shared" si="2"/>
        <v>5521181328</v>
      </c>
      <c r="K11" s="12"/>
    </row>
    <row r="12" spans="2:11">
      <c r="B12" s="38" t="s">
        <v>263</v>
      </c>
      <c r="C12" s="42" t="s">
        <v>217</v>
      </c>
      <c r="D12" s="40">
        <f>주석_보조자료!$D$6*1000</f>
        <v>1253988000</v>
      </c>
      <c r="E12" s="41">
        <f>IF(OR(D12="",D10=0),"",D12/D10)</f>
        <v>0.10239304178750999</v>
      </c>
      <c r="F12" s="41">
        <f t="shared" si="0"/>
        <v>9.5384899951470883E-2</v>
      </c>
      <c r="G12" s="40">
        <f>IF(주석_보조자료!$G$6=0,"",주석_보조자료!$G$6*1000)</f>
        <v>598243000</v>
      </c>
      <c r="H12" s="41">
        <f>IF(OR(G12="",G10=0),"",G12/G10)</f>
        <v>8.8949768185501155E-2</v>
      </c>
      <c r="I12" s="41">
        <f t="shared" si="1"/>
        <v>0.10689619595898527</v>
      </c>
      <c r="J12" s="40">
        <f t="shared" si="2"/>
        <v>655745000</v>
      </c>
      <c r="K12" s="10" t="s">
        <v>264</v>
      </c>
    </row>
    <row r="13" spans="2:11">
      <c r="B13" s="38" t="s">
        <v>263</v>
      </c>
      <c r="C13" s="42" t="s">
        <v>218</v>
      </c>
      <c r="D13" s="40">
        <f>주석_보조자료!$D$7*1000</f>
        <v>148252000</v>
      </c>
      <c r="E13" s="41">
        <f>IF(OR(D13="",D10=0),"",D13/D10)</f>
        <v>1.2105357651813201E-2</v>
      </c>
      <c r="F13" s="41">
        <f t="shared" si="0"/>
        <v>1.1276824170251597E-2</v>
      </c>
      <c r="G13" s="40">
        <f>IF(주석_보조자료!$G$7=0,"",주석_보조자료!$G$7*1000)</f>
        <v>21645000</v>
      </c>
      <c r="H13" s="41">
        <f>IF(OR(G13="",G10=0),"",G13/G10)</f>
        <v>3.2182871046968751E-3</v>
      </c>
      <c r="I13" s="41">
        <f t="shared" si="1"/>
        <v>3.8676059085225169E-3</v>
      </c>
      <c r="J13" s="40">
        <f t="shared" si="2"/>
        <v>126607000</v>
      </c>
      <c r="K13" s="10" t="s">
        <v>265</v>
      </c>
    </row>
    <row r="14" spans="2:11">
      <c r="B14" s="38" t="s">
        <v>263</v>
      </c>
      <c r="C14" s="42" t="s">
        <v>219</v>
      </c>
      <c r="D14" s="40">
        <f>주석_보조자료!$D$8*1000</f>
        <v>267351000</v>
      </c>
      <c r="E14" s="41">
        <f>IF(OR(D14="",D10=0),"",D14/D10)</f>
        <v>2.183025843543366E-2</v>
      </c>
      <c r="F14" s="41">
        <f t="shared" si="0"/>
        <v>2.0336118357532681E-2</v>
      </c>
      <c r="G14" s="40">
        <f>IF(주석_보조자료!$G$8=0,"",주석_보조자료!$G$8*1000)</f>
        <v>122501000</v>
      </c>
      <c r="H14" s="41">
        <f>IF(OR(G14="",G10=0),"",G14/G10)</f>
        <v>1.821406276795897E-2</v>
      </c>
      <c r="I14" s="41">
        <f t="shared" si="1"/>
        <v>2.188891621159237E-2</v>
      </c>
      <c r="J14" s="40">
        <f t="shared" si="2"/>
        <v>144850000</v>
      </c>
      <c r="K14" s="10" t="s">
        <v>265</v>
      </c>
    </row>
    <row r="15" spans="2:11">
      <c r="B15" s="38" t="s">
        <v>263</v>
      </c>
      <c r="C15" s="42" t="s">
        <v>221</v>
      </c>
      <c r="D15" s="40">
        <f>주석_보조자료!$D$10*1000</f>
        <v>3349232000</v>
      </c>
      <c r="E15" s="41">
        <f>IF(OR(D15="",D10=0),"",D15/D10)</f>
        <v>0.27347793769323603</v>
      </c>
      <c r="F15" s="41">
        <f t="shared" si="0"/>
        <v>0.25476014063473074</v>
      </c>
      <c r="G15" s="40">
        <f>IF(주석_보조자료!$G$10=0,"",주석_보조자료!$G$10*1000)</f>
        <v>1665933000</v>
      </c>
      <c r="H15" s="41">
        <f>IF(OR(G15="",G10=0),"",G15/G10)</f>
        <v>0.24769926963220046</v>
      </c>
      <c r="I15" s="41">
        <f t="shared" si="1"/>
        <v>0.29767485858178061</v>
      </c>
      <c r="J15" s="40">
        <f t="shared" si="2"/>
        <v>1683299000</v>
      </c>
      <c r="K15" s="10" t="s">
        <v>266</v>
      </c>
    </row>
    <row r="16" spans="2:11">
      <c r="B16" s="38" t="s">
        <v>263</v>
      </c>
      <c r="C16" s="42" t="s">
        <v>223</v>
      </c>
      <c r="D16" s="40">
        <f>주석_보조자료!$D$11*1000</f>
        <v>48282000</v>
      </c>
      <c r="E16" s="41">
        <f>IF(OR(D16="",D10=0),"",D16/D10)</f>
        <v>3.9424147947066139E-3</v>
      </c>
      <c r="F16" s="41">
        <f t="shared" si="0"/>
        <v>3.6725819859974073E-3</v>
      </c>
      <c r="G16" s="40">
        <f>IF(주석_보조자료!$G$11=0,"",주석_보조자료!$G$11*1000)</f>
        <v>67295000</v>
      </c>
      <c r="H16" s="41">
        <f>IF(OR(G16="",G10=0),"",G16/G10)</f>
        <v>1.0005757944586566E-2</v>
      </c>
      <c r="I16" s="41">
        <f t="shared" si="1"/>
        <v>1.2024510954678807E-2</v>
      </c>
      <c r="J16" s="40">
        <f t="shared" si="2"/>
        <v>-19013000</v>
      </c>
      <c r="K16" s="10" t="s">
        <v>265</v>
      </c>
    </row>
    <row r="17" spans="2:11">
      <c r="B17" s="38" t="s">
        <v>263</v>
      </c>
      <c r="C17" s="42" t="s">
        <v>224</v>
      </c>
      <c r="D17" s="40">
        <f>주석_보조자료!$D$12*1000</f>
        <v>30929000</v>
      </c>
      <c r="E17" s="41">
        <f>IF(OR(D17="",D10=0),"",D17/D10)</f>
        <v>2.5254742385460598E-3</v>
      </c>
      <c r="F17" s="41">
        <f t="shared" si="0"/>
        <v>2.3526218517234956E-3</v>
      </c>
      <c r="G17" s="40" t="str">
        <f>IF(주석_보조자료!$G$12=0,"",주석_보조자료!$G$12*1000)</f>
        <v/>
      </c>
      <c r="H17" s="41" t="str">
        <f>IF(OR(G17="",G10=0),"",G17/G10)</f>
        <v/>
      </c>
      <c r="I17" s="41" t="str">
        <f t="shared" si="1"/>
        <v/>
      </c>
      <c r="J17" s="40" t="str">
        <f t="shared" si="2"/>
        <v/>
      </c>
      <c r="K17" s="10" t="s">
        <v>267</v>
      </c>
    </row>
    <row r="18" spans="2:11">
      <c r="B18" s="38" t="s">
        <v>263</v>
      </c>
      <c r="C18" s="42" t="s">
        <v>268</v>
      </c>
      <c r="D18" s="40">
        <f>D11-SUM(D12:D17)</f>
        <v>7148774749</v>
      </c>
      <c r="E18" s="41">
        <f>IF(OR(D18="",D10=0),"",D18/D10)</f>
        <v>0.58372551539875439</v>
      </c>
      <c r="F18" s="41">
        <f t="shared" si="0"/>
        <v>0.54377327710390078</v>
      </c>
      <c r="G18" s="40">
        <f>G11-SUM(G12:G17)</f>
        <v>4250010421</v>
      </c>
      <c r="H18" s="41">
        <f>IF(OR(G18="",G10=0),"",G18/G10)</f>
        <v>0.63191285436505595</v>
      </c>
      <c r="I18" s="41">
        <f t="shared" si="1"/>
        <v>0.75940704160507588</v>
      </c>
      <c r="J18" s="40">
        <f t="shared" si="2"/>
        <v>2898764328</v>
      </c>
      <c r="K18" s="10" t="s">
        <v>269</v>
      </c>
    </row>
    <row r="19" spans="2:11">
      <c r="B19" s="120" t="s">
        <v>270</v>
      </c>
      <c r="C19" s="43" t="s">
        <v>271</v>
      </c>
      <c r="D19" s="40">
        <f>IFERROR(D18*설정값!$D$23/(설정값!$D$23+설정값!$D$24+설정값!$D$25+설정값!$D$26+설정값!$D$27),0)</f>
        <v>5989842468.959096</v>
      </c>
      <c r="E19" s="41">
        <f>IF(OR(D19="",D10=0),"",D19/D10)</f>
        <v>0.48909414621569802</v>
      </c>
      <c r="F19" s="41">
        <f t="shared" si="0"/>
        <v>0.45561881343899197</v>
      </c>
      <c r="G19" s="40"/>
      <c r="H19" s="12"/>
      <c r="I19" s="12"/>
      <c r="J19" s="12"/>
      <c r="K19" s="10" t="s">
        <v>272</v>
      </c>
    </row>
    <row r="20" spans="2:11">
      <c r="B20" s="120" t="s">
        <v>270</v>
      </c>
      <c r="C20" s="43" t="s">
        <v>273</v>
      </c>
      <c r="D20" s="40">
        <f>IFERROR(D18*설정값!$D$24/(설정값!$D$23+설정값!$D$24+설정값!$D$25+설정값!$D$26+설정값!$D$27),0)</f>
        <v>772859836.35053504</v>
      </c>
      <c r="E20" s="41">
        <f>IF(OR(D20="",D10=0),"",D20/D10)</f>
        <v>6.3107038918497199E-2</v>
      </c>
      <c r="F20" s="41">
        <f t="shared" si="0"/>
        <v>5.8787770031934868E-2</v>
      </c>
      <c r="G20" s="40"/>
      <c r="H20" s="12"/>
      <c r="I20" s="12"/>
      <c r="J20" s="12"/>
      <c r="K20" s="10" t="s">
        <v>274</v>
      </c>
    </row>
    <row r="21" spans="2:11">
      <c r="B21" s="120" t="s">
        <v>270</v>
      </c>
      <c r="C21" s="43" t="s">
        <v>275</v>
      </c>
      <c r="D21" s="40">
        <f>IFERROR(D18*설정값!$D$25/(설정값!$D$23+설정값!$D$24+설정값!$D$25+설정값!$D$26+설정값!$D$27),0)</f>
        <v>366768821.50585055</v>
      </c>
      <c r="E21" s="41">
        <f>IF(OR(D21="",D10=0),"",D21/D10)</f>
        <v>2.9948113751331232E-2</v>
      </c>
      <c r="F21" s="41">
        <f t="shared" si="0"/>
        <v>2.7898358951325239E-2</v>
      </c>
      <c r="G21" s="40"/>
      <c r="H21" s="12"/>
      <c r="I21" s="12"/>
      <c r="J21" s="12"/>
      <c r="K21" s="10" t="s">
        <v>274</v>
      </c>
    </row>
    <row r="22" spans="2:11">
      <c r="B22" s="120" t="s">
        <v>270</v>
      </c>
      <c r="C22" s="43" t="s">
        <v>276</v>
      </c>
      <c r="D22" s="40">
        <f>IFERROR(D18*설정값!$D$26/(설정값!$D$23+설정값!$D$24+설정값!$D$25+설정값!$D$26+설정값!$D$27),0)</f>
        <v>0</v>
      </c>
      <c r="E22" s="41">
        <f>IF(OR(D22="",D10=0),"",D22/D10)</f>
        <v>0</v>
      </c>
      <c r="F22" s="41">
        <f t="shared" si="0"/>
        <v>0</v>
      </c>
      <c r="G22" s="40"/>
      <c r="H22" s="12"/>
      <c r="I22" s="12"/>
      <c r="J22" s="12"/>
      <c r="K22" s="10" t="s">
        <v>274</v>
      </c>
    </row>
    <row r="23" spans="2:11">
      <c r="B23" s="120" t="s">
        <v>270</v>
      </c>
      <c r="C23" s="43" t="s">
        <v>277</v>
      </c>
      <c r="D23" s="40">
        <f>IFERROR(D18*설정값!$D$27/(설정값!$D$23+설정값!$D$24+설정값!$D$25+설정값!$D$26+설정값!$D$27),0)</f>
        <v>19303622.184518453</v>
      </c>
      <c r="E23" s="41">
        <f>IF(OR(D23="",D10=0),"",D23/D10)</f>
        <v>1.5762165132279598E-3</v>
      </c>
      <c r="F23" s="41">
        <f t="shared" si="0"/>
        <v>1.4683346816486971E-3</v>
      </c>
      <c r="G23" s="40"/>
      <c r="H23" s="12"/>
      <c r="I23" s="12"/>
      <c r="J23" s="12"/>
      <c r="K23" s="10" t="s">
        <v>274</v>
      </c>
    </row>
    <row r="24" spans="2:11">
      <c r="B24" s="33" t="s">
        <v>278</v>
      </c>
      <c r="C24" s="8" t="s">
        <v>279</v>
      </c>
      <c r="D24" s="34">
        <f>D5-D10</f>
        <v>899800417</v>
      </c>
      <c r="E24" s="35"/>
      <c r="F24" s="36">
        <f t="shared" si="0"/>
        <v>6.8443535944392425E-2</v>
      </c>
      <c r="G24" s="34">
        <f>G5-G10</f>
        <v>-1129142021</v>
      </c>
      <c r="H24" s="35"/>
      <c r="I24" s="36">
        <f t="shared" ref="I24:I68" si="3">IF(G24="","",G24/G$5)</f>
        <v>-0.20175912922063552</v>
      </c>
      <c r="J24" s="37">
        <f t="shared" ref="J24:J68" si="4">IF(OR(D24="",G24=""),"",D24-G24)</f>
        <v>2028942438</v>
      </c>
      <c r="K24" s="12" t="s">
        <v>280</v>
      </c>
    </row>
    <row r="25" spans="2:11">
      <c r="B25" s="33" t="s">
        <v>75</v>
      </c>
      <c r="C25" s="8" t="s">
        <v>281</v>
      </c>
      <c r="D25" s="34">
        <f>SUM(D26:D44)</f>
        <v>2979322526</v>
      </c>
      <c r="E25" s="35"/>
      <c r="F25" s="36">
        <f t="shared" si="0"/>
        <v>0.22662288719323748</v>
      </c>
      <c r="G25" s="34">
        <f>SUM(G26:G44)</f>
        <v>2319581793</v>
      </c>
      <c r="H25" s="35"/>
      <c r="I25" s="36">
        <f t="shared" si="3"/>
        <v>0.41447115952451158</v>
      </c>
      <c r="J25" s="37">
        <f t="shared" si="4"/>
        <v>659740733</v>
      </c>
      <c r="K25" s="12" t="s">
        <v>282</v>
      </c>
    </row>
    <row r="26" spans="2:11">
      <c r="B26" s="38" t="s">
        <v>259</v>
      </c>
      <c r="C26" s="39" t="s">
        <v>283</v>
      </c>
      <c r="D26" s="40">
        <v>1822878650</v>
      </c>
      <c r="E26" s="41">
        <f>IF(OR(D26="",D25=0),"",D26/D25)</f>
        <v>0.61184334159597464</v>
      </c>
      <c r="F26" s="41">
        <f t="shared" si="0"/>
        <v>0.13865770458243803</v>
      </c>
      <c r="G26" s="40">
        <v>925393401</v>
      </c>
      <c r="H26" s="41">
        <f>IF(OR(G26="",G25=0),"",G26/G25)</f>
        <v>0.39894838103689151</v>
      </c>
      <c r="I26" s="41">
        <f t="shared" si="3"/>
        <v>0.16535259807878708</v>
      </c>
      <c r="J26" s="40">
        <f t="shared" si="4"/>
        <v>897485249</v>
      </c>
      <c r="K26" s="12"/>
    </row>
    <row r="27" spans="2:11">
      <c r="B27" s="38" t="s">
        <v>259</v>
      </c>
      <c r="C27" s="39" t="s">
        <v>218</v>
      </c>
      <c r="D27" s="40">
        <v>152420193</v>
      </c>
      <c r="E27" s="41">
        <f>IF(OR(D27="",D25=0),"",D27/D25)</f>
        <v>5.1159346351345648E-2</v>
      </c>
      <c r="F27" s="41">
        <f t="shared" si="0"/>
        <v>1.159387877706077E-2</v>
      </c>
      <c r="G27" s="40">
        <v>47090190</v>
      </c>
      <c r="H27" s="41">
        <f>IF(OR(G27="",G25=0),"",G27/G25)</f>
        <v>2.0301155209145064E-2</v>
      </c>
      <c r="I27" s="41">
        <f t="shared" si="3"/>
        <v>8.414243339221434E-3</v>
      </c>
      <c r="J27" s="40">
        <f t="shared" si="4"/>
        <v>105330003</v>
      </c>
      <c r="K27" s="12"/>
    </row>
    <row r="28" spans="2:11">
      <c r="B28" s="38" t="s">
        <v>259</v>
      </c>
      <c r="C28" s="39" t="s">
        <v>219</v>
      </c>
      <c r="D28" s="40">
        <v>147553407</v>
      </c>
      <c r="E28" s="41">
        <f>IF(OR(D28="",D25=0),"",D28/D25)</f>
        <v>4.9525825321806737E-2</v>
      </c>
      <c r="F28" s="41">
        <f t="shared" si="0"/>
        <v>1.1223685525055793E-2</v>
      </c>
      <c r="G28" s="40">
        <v>149856057</v>
      </c>
      <c r="H28" s="41">
        <f>IF(OR(G28="",G25=0),"",G28/G25)</f>
        <v>6.4604773779581057E-2</v>
      </c>
      <c r="I28" s="41">
        <f t="shared" si="3"/>
        <v>2.677681549924172E-2</v>
      </c>
      <c r="J28" s="40">
        <f t="shared" si="4"/>
        <v>-2302650</v>
      </c>
      <c r="K28" s="12"/>
    </row>
    <row r="29" spans="2:11">
      <c r="B29" s="38" t="s">
        <v>259</v>
      </c>
      <c r="C29" s="39" t="s">
        <v>284</v>
      </c>
      <c r="D29" s="40">
        <v>9246562</v>
      </c>
      <c r="E29" s="41">
        <f>IF(OR(D29="",D25=0),"",D29/D25)</f>
        <v>3.103578722782429E-3</v>
      </c>
      <c r="F29" s="41">
        <f t="shared" si="0"/>
        <v>7.0334197078845452E-4</v>
      </c>
      <c r="G29" s="40">
        <v>13978890</v>
      </c>
      <c r="H29" s="41">
        <f>IF(OR(G29="",G25=0),"",G29/G25)</f>
        <v>6.0264699620359539E-3</v>
      </c>
      <c r="I29" s="41">
        <f t="shared" si="3"/>
        <v>2.497797993004681E-3</v>
      </c>
      <c r="J29" s="40">
        <f t="shared" si="4"/>
        <v>-4732328</v>
      </c>
      <c r="K29" s="12"/>
    </row>
    <row r="30" spans="2:11">
      <c r="B30" s="38" t="s">
        <v>259</v>
      </c>
      <c r="C30" s="39" t="s">
        <v>285</v>
      </c>
      <c r="D30" s="40">
        <v>8802000</v>
      </c>
      <c r="E30" s="41">
        <f>IF(OR(D30="",D25=0),"",D30/D25)</f>
        <v>2.9543629208273236E-3</v>
      </c>
      <c r="F30" s="41">
        <f t="shared" si="0"/>
        <v>6.6952625493453424E-4</v>
      </c>
      <c r="G30" s="40">
        <v>4574200</v>
      </c>
      <c r="H30" s="41">
        <f>IF(OR(G30="",G25=0),"",G30/G25)</f>
        <v>1.9719934057958006E-3</v>
      </c>
      <c r="I30" s="41">
        <f t="shared" si="3"/>
        <v>8.1733439347487623E-4</v>
      </c>
      <c r="J30" s="40">
        <f t="shared" si="4"/>
        <v>4227800</v>
      </c>
      <c r="K30" s="12"/>
    </row>
    <row r="31" spans="2:11">
      <c r="B31" s="38" t="s">
        <v>259</v>
      </c>
      <c r="C31" s="39" t="s">
        <v>286</v>
      </c>
      <c r="D31" s="40">
        <v>9364469</v>
      </c>
      <c r="E31" s="41">
        <f>IF(OR(D31="",D25=0),"",D31/D25)</f>
        <v>3.1431538271798373E-3</v>
      </c>
      <c r="F31" s="41">
        <f t="shared" si="0"/>
        <v>7.1231059520796892E-4</v>
      </c>
      <c r="G31" s="40">
        <v>1820713</v>
      </c>
      <c r="H31" s="41">
        <f>IF(OR(G31="",G25=0),"",G31/G25)</f>
        <v>7.8493157925903754E-4</v>
      </c>
      <c r="I31" s="41">
        <f t="shared" si="3"/>
        <v>3.2533150180289936E-4</v>
      </c>
      <c r="J31" s="40">
        <f t="shared" si="4"/>
        <v>7543756</v>
      </c>
      <c r="K31" s="12"/>
    </row>
    <row r="32" spans="2:11">
      <c r="B32" s="38" t="s">
        <v>259</v>
      </c>
      <c r="C32" s="39" t="s">
        <v>287</v>
      </c>
      <c r="D32" s="40">
        <v>16446116</v>
      </c>
      <c r="E32" s="41">
        <f>IF(OR(D32="",D25=0),"",D32/D25)</f>
        <v>5.5200858102732314E-3</v>
      </c>
      <c r="F32" s="41">
        <f t="shared" si="0"/>
        <v>1.2509777838785414E-3</v>
      </c>
      <c r="G32" s="40">
        <v>5716101</v>
      </c>
      <c r="H32" s="41">
        <f>IF(OR(G32="",G25=0),"",G32/G25)</f>
        <v>2.4642808532339606E-3</v>
      </c>
      <c r="I32" s="41">
        <f t="shared" si="3"/>
        <v>1.0213733426339324E-3</v>
      </c>
      <c r="J32" s="40">
        <f t="shared" si="4"/>
        <v>10730015</v>
      </c>
      <c r="K32" s="12"/>
    </row>
    <row r="33" spans="2:11">
      <c r="B33" s="38" t="s">
        <v>259</v>
      </c>
      <c r="C33" s="39" t="s">
        <v>223</v>
      </c>
      <c r="D33" s="40">
        <v>62971500</v>
      </c>
      <c r="E33" s="41">
        <f>IF(OR(D33="",D25=0),"",D33/D25)</f>
        <v>2.113618094397612E-2</v>
      </c>
      <c r="F33" s="41">
        <f t="shared" si="0"/>
        <v>4.7899423497625559E-3</v>
      </c>
      <c r="G33" s="40">
        <v>28336468</v>
      </c>
      <c r="H33" s="41">
        <f>IF(OR(G33="",G25=0),"",G33/G25)</f>
        <v>1.2216196939255766E-2</v>
      </c>
      <c r="I33" s="41">
        <f t="shared" si="3"/>
        <v>5.0632613103931265E-3</v>
      </c>
      <c r="J33" s="40">
        <f t="shared" si="4"/>
        <v>34635032</v>
      </c>
      <c r="K33" s="12"/>
    </row>
    <row r="34" spans="2:11">
      <c r="B34" s="38" t="s">
        <v>259</v>
      </c>
      <c r="C34" s="39" t="s">
        <v>288</v>
      </c>
      <c r="D34" s="40">
        <v>74136257</v>
      </c>
      <c r="E34" s="41">
        <f>IF(OR(D34="",D25=0),"",D34/D25)</f>
        <v>2.4883595633915602E-2</v>
      </c>
      <c r="F34" s="41">
        <f t="shared" si="0"/>
        <v>5.6391922863069923E-3</v>
      </c>
      <c r="G34" s="40">
        <v>29850264</v>
      </c>
      <c r="H34" s="41">
        <f>IF(OR(G34="",G25=0),"",G34/G25)</f>
        <v>1.2868812856732059E-2</v>
      </c>
      <c r="I34" s="41">
        <f t="shared" si="3"/>
        <v>5.3337517864336789E-3</v>
      </c>
      <c r="J34" s="40">
        <f t="shared" si="4"/>
        <v>44285993</v>
      </c>
      <c r="K34" s="12"/>
    </row>
    <row r="35" spans="2:11">
      <c r="B35" s="38" t="s">
        <v>259</v>
      </c>
      <c r="C35" s="39" t="s">
        <v>289</v>
      </c>
      <c r="D35" s="40"/>
      <c r="E35" s="41" t="str">
        <f>IF(OR(D35="",D25=0),"",D35/D25)</f>
        <v/>
      </c>
      <c r="F35" s="41" t="str">
        <f t="shared" si="0"/>
        <v/>
      </c>
      <c r="G35" s="40">
        <v>5262727</v>
      </c>
      <c r="H35" s="41">
        <f>IF(OR(G35="",G25=0),"",G35/G25)</f>
        <v>2.2688257925983814E-3</v>
      </c>
      <c r="I35" s="41">
        <f t="shared" si="3"/>
        <v>9.4036285701737019E-4</v>
      </c>
      <c r="J35" s="40" t="str">
        <f t="shared" si="4"/>
        <v/>
      </c>
      <c r="K35" s="12"/>
    </row>
    <row r="36" spans="2:11">
      <c r="B36" s="38" t="s">
        <v>259</v>
      </c>
      <c r="C36" s="39" t="s">
        <v>126</v>
      </c>
      <c r="D36" s="40">
        <v>7359767</v>
      </c>
      <c r="E36" s="41">
        <f>IF(OR(D36="",D25=0),"",D36/D25)</f>
        <v>2.4702820643863381E-3</v>
      </c>
      <c r="F36" s="41">
        <f t="shared" si="0"/>
        <v>5.5982245361290296E-4</v>
      </c>
      <c r="G36" s="40">
        <v>5509172</v>
      </c>
      <c r="H36" s="41">
        <f>IF(OR(G36="",G25=0),"",G36/G25)</f>
        <v>2.3750712376797828E-3</v>
      </c>
      <c r="I36" s="41">
        <f t="shared" si="3"/>
        <v>9.8439852983445652E-4</v>
      </c>
      <c r="J36" s="40">
        <f t="shared" si="4"/>
        <v>1850595</v>
      </c>
      <c r="K36" s="12"/>
    </row>
    <row r="37" spans="2:11">
      <c r="B37" s="38" t="s">
        <v>259</v>
      </c>
      <c r="C37" s="39" t="s">
        <v>290</v>
      </c>
      <c r="D37" s="40">
        <v>509000</v>
      </c>
      <c r="E37" s="41">
        <f>IF(OR(D37="",D25=0),"",D37/D25)</f>
        <v>1.7084420889583137E-4</v>
      </c>
      <c r="F37" s="41">
        <f t="shared" ref="F37:F68" si="5">IF(D37="","",D37/D$5)</f>
        <v>3.8717207880217897E-5</v>
      </c>
      <c r="G37" s="40">
        <v>689502</v>
      </c>
      <c r="H37" s="41">
        <f>IF(OR(G37="",G25=0),"",G37/G25)</f>
        <v>2.9725272119343626E-4</v>
      </c>
      <c r="I37" s="41">
        <f t="shared" si="3"/>
        <v>1.232026800248599E-4</v>
      </c>
      <c r="J37" s="40">
        <f t="shared" si="4"/>
        <v>-180502</v>
      </c>
      <c r="K37" s="12"/>
    </row>
    <row r="38" spans="2:11">
      <c r="B38" s="38" t="s">
        <v>259</v>
      </c>
      <c r="C38" s="39" t="s">
        <v>291</v>
      </c>
      <c r="D38" s="40">
        <v>513850</v>
      </c>
      <c r="E38" s="41">
        <f>IF(OR(D38="",D25=0),"",D38/D25)</f>
        <v>1.7247209575859125E-4</v>
      </c>
      <c r="F38" s="41">
        <f t="shared" si="5"/>
        <v>3.9086124301080481E-5</v>
      </c>
      <c r="G38" s="40">
        <v>5006025</v>
      </c>
      <c r="H38" s="41">
        <f>IF(OR(G38="",G25=0),"",G38/G25)</f>
        <v>2.1581584297251811E-3</v>
      </c>
      <c r="I38" s="41">
        <f t="shared" si="3"/>
        <v>8.9449442680579493E-4</v>
      </c>
      <c r="J38" s="40">
        <f t="shared" si="4"/>
        <v>-4492175</v>
      </c>
      <c r="K38" s="12"/>
    </row>
    <row r="39" spans="2:11">
      <c r="B39" s="38" t="s">
        <v>259</v>
      </c>
      <c r="C39" s="39" t="s">
        <v>292</v>
      </c>
      <c r="D39" s="40">
        <v>1199818</v>
      </c>
      <c r="E39" s="41">
        <f>IF(OR(D39="",D25=0),"",D39/D25)</f>
        <v>4.0271504327893637E-4</v>
      </c>
      <c r="F39" s="41">
        <f t="shared" si="5"/>
        <v>9.1264445824022148E-5</v>
      </c>
      <c r="G39" s="40">
        <v>8262</v>
      </c>
      <c r="H39" s="41">
        <f>IF(OR(G39="",G25=0),"",G39/G25)</f>
        <v>3.5618489612795475E-6</v>
      </c>
      <c r="I39" s="41">
        <f t="shared" si="3"/>
        <v>1.476283669032711E-6</v>
      </c>
      <c r="J39" s="40">
        <f t="shared" si="4"/>
        <v>1191556</v>
      </c>
      <c r="K39" s="12"/>
    </row>
    <row r="40" spans="2:11">
      <c r="B40" s="38" t="s">
        <v>259</v>
      </c>
      <c r="C40" s="39" t="s">
        <v>293</v>
      </c>
      <c r="D40" s="40">
        <v>8368000</v>
      </c>
      <c r="E40" s="41">
        <f>IF(OR(D40="",D25=0),"",D40/D25)</f>
        <v>2.8086922201185009E-3</v>
      </c>
      <c r="F40" s="41">
        <f t="shared" si="5"/>
        <v>6.3651394016043877E-4</v>
      </c>
      <c r="G40" s="40">
        <v>8484800</v>
      </c>
      <c r="H40" s="41">
        <f>IF(OR(G40="",G25=0),"",G40/G25)</f>
        <v>3.6579007584924598E-3</v>
      </c>
      <c r="I40" s="41">
        <f t="shared" si="3"/>
        <v>1.5160943687979602E-3</v>
      </c>
      <c r="J40" s="40">
        <f t="shared" si="4"/>
        <v>-116800</v>
      </c>
      <c r="K40" s="12"/>
    </row>
    <row r="41" spans="2:11">
      <c r="B41" s="38" t="s">
        <v>259</v>
      </c>
      <c r="C41" s="39" t="s">
        <v>294</v>
      </c>
      <c r="D41" s="40">
        <v>9759123</v>
      </c>
      <c r="E41" s="41">
        <f>IF(OR(D41="",D25=0),"",D41/D25)</f>
        <v>3.2756181698469795E-3</v>
      </c>
      <c r="F41" s="41">
        <f t="shared" si="5"/>
        <v>7.4233004699335108E-4</v>
      </c>
      <c r="G41" s="40">
        <v>87634156</v>
      </c>
      <c r="H41" s="41">
        <f>IF(OR(G41="",G25=0),"",G41/G25)</f>
        <v>3.7780153415784293E-2</v>
      </c>
      <c r="I41" s="41">
        <f t="shared" si="3"/>
        <v>1.5658783993254051E-2</v>
      </c>
      <c r="J41" s="40">
        <f t="shared" si="4"/>
        <v>-77875033</v>
      </c>
      <c r="K41" s="12"/>
    </row>
    <row r="42" spans="2:11">
      <c r="B42" s="38" t="s">
        <v>259</v>
      </c>
      <c r="C42" s="39" t="s">
        <v>153</v>
      </c>
      <c r="D42" s="40">
        <v>540820215</v>
      </c>
      <c r="E42" s="41">
        <f>IF(OR(D42="",D25=0),"",D42/D25)</f>
        <v>0.18152456146669635</v>
      </c>
      <c r="F42" s="41">
        <f t="shared" si="5"/>
        <v>4.113762021606903E-2</v>
      </c>
      <c r="G42" s="40">
        <v>742503791</v>
      </c>
      <c r="H42" s="41">
        <f>IF(OR(G42="",G25=0),"",G42/G25)</f>
        <v>0.32010243969008423</v>
      </c>
      <c r="I42" s="41">
        <f t="shared" si="3"/>
        <v>0.13267322934497425</v>
      </c>
      <c r="J42" s="40">
        <f t="shared" si="4"/>
        <v>-201683576</v>
      </c>
      <c r="K42" s="12" t="s">
        <v>295</v>
      </c>
    </row>
    <row r="43" spans="2:11">
      <c r="B43" s="38" t="s">
        <v>259</v>
      </c>
      <c r="C43" s="39" t="s">
        <v>296</v>
      </c>
      <c r="D43" s="40">
        <v>106973599</v>
      </c>
      <c r="E43" s="41">
        <f>IF(OR(D43="",D25=0),"",D43/D25)</f>
        <v>3.5905343602936929E-2</v>
      </c>
      <c r="F43" s="41">
        <f t="shared" si="5"/>
        <v>8.1369726329628082E-3</v>
      </c>
      <c r="G43" s="40">
        <v>257024074</v>
      </c>
      <c r="H43" s="41">
        <f>IF(OR(G43="",G25=0),"",G43/G25)</f>
        <v>0.11080621290253419</v>
      </c>
      <c r="I43" s="41">
        <f t="shared" si="3"/>
        <v>4.5925979544233241E-2</v>
      </c>
      <c r="J43" s="40">
        <f t="shared" si="4"/>
        <v>-150050475</v>
      </c>
      <c r="K43" s="12"/>
    </row>
    <row r="44" spans="2:11">
      <c r="B44" s="38" t="s">
        <v>259</v>
      </c>
      <c r="C44" s="39" t="s">
        <v>297</v>
      </c>
      <c r="D44" s="40"/>
      <c r="E44" s="41" t="str">
        <f>IF(OR(D44="",D25=0),"",D44/D25)</f>
        <v/>
      </c>
      <c r="F44" s="41" t="str">
        <f t="shared" si="5"/>
        <v/>
      </c>
      <c r="G44" s="40">
        <v>843000</v>
      </c>
      <c r="H44" s="41">
        <f>IF(OR(G44="",G25=0),"",G44/G25)</f>
        <v>3.6342758101654059E-4</v>
      </c>
      <c r="I44" s="41">
        <f t="shared" si="3"/>
        <v>1.5063025090711395E-4</v>
      </c>
      <c r="J44" s="40" t="str">
        <f t="shared" si="4"/>
        <v/>
      </c>
      <c r="K44" s="12"/>
    </row>
    <row r="45" spans="2:11">
      <c r="B45" s="33" t="s">
        <v>278</v>
      </c>
      <c r="C45" s="8" t="s">
        <v>298</v>
      </c>
      <c r="D45" s="34">
        <f>D24-D25</f>
        <v>-2079522109</v>
      </c>
      <c r="E45" s="35"/>
      <c r="F45" s="36">
        <f t="shared" si="5"/>
        <v>-0.15817935124884505</v>
      </c>
      <c r="G45" s="34">
        <f>G24-G25</f>
        <v>-3448723814</v>
      </c>
      <c r="H45" s="35"/>
      <c r="I45" s="36">
        <f t="shared" si="3"/>
        <v>-0.61623028874514707</v>
      </c>
      <c r="J45" s="37">
        <f t="shared" si="4"/>
        <v>1369201705</v>
      </c>
      <c r="K45" s="12" t="s">
        <v>299</v>
      </c>
    </row>
    <row r="46" spans="2:11">
      <c r="B46" s="38" t="s">
        <v>300</v>
      </c>
      <c r="C46" s="44" t="s">
        <v>301</v>
      </c>
      <c r="D46" s="40">
        <f>D15</f>
        <v>3349232000</v>
      </c>
      <c r="E46" s="12"/>
      <c r="F46" s="41">
        <f t="shared" si="5"/>
        <v>0.25476014063473074</v>
      </c>
      <c r="G46" s="40">
        <f>G15</f>
        <v>1665933000</v>
      </c>
      <c r="H46" s="12"/>
      <c r="I46" s="41">
        <f t="shared" si="3"/>
        <v>0.29767485858178061</v>
      </c>
      <c r="J46" s="40">
        <f t="shared" si="4"/>
        <v>1683299000</v>
      </c>
      <c r="K46" s="10" t="s">
        <v>302</v>
      </c>
    </row>
    <row r="47" spans="2:11">
      <c r="B47" s="45" t="s">
        <v>300</v>
      </c>
      <c r="C47" s="46" t="s">
        <v>303</v>
      </c>
      <c r="D47" s="47">
        <f>D45+D46</f>
        <v>1269709891</v>
      </c>
      <c r="E47" s="24"/>
      <c r="F47" s="48">
        <f t="shared" si="5"/>
        <v>9.6580789385885671E-2</v>
      </c>
      <c r="G47" s="47">
        <f>G45+G46</f>
        <v>-1782790814</v>
      </c>
      <c r="H47" s="24"/>
      <c r="I47" s="48">
        <f t="shared" si="3"/>
        <v>-0.31855543016336646</v>
      </c>
      <c r="J47" s="49">
        <f t="shared" si="4"/>
        <v>3052500705</v>
      </c>
      <c r="K47" s="10" t="s">
        <v>304</v>
      </c>
    </row>
    <row r="48" spans="2:11">
      <c r="B48" s="33" t="s">
        <v>75</v>
      </c>
      <c r="C48" s="8" t="s">
        <v>305</v>
      </c>
      <c r="D48" s="34">
        <f>SUM(D49:D52)</f>
        <v>81389927</v>
      </c>
      <c r="E48" s="35"/>
      <c r="F48" s="36">
        <f t="shared" si="5"/>
        <v>6.1909444460014913E-3</v>
      </c>
      <c r="G48" s="34">
        <f>SUM(G49:G52)</f>
        <v>38864425</v>
      </c>
      <c r="H48" s="35"/>
      <c r="I48" s="36">
        <f t="shared" si="3"/>
        <v>6.9444342694077255E-3</v>
      </c>
      <c r="J48" s="37">
        <f t="shared" si="4"/>
        <v>42525502</v>
      </c>
      <c r="K48" s="12" t="s">
        <v>306</v>
      </c>
    </row>
    <row r="49" spans="2:11">
      <c r="B49" s="38" t="s">
        <v>259</v>
      </c>
      <c r="C49" s="39" t="s">
        <v>307</v>
      </c>
      <c r="D49" s="40">
        <v>470621</v>
      </c>
      <c r="E49" s="41">
        <f>IF(OR(D49="",D48=0),"",D49/D48)</f>
        <v>5.7823003084890344E-3</v>
      </c>
      <c r="F49" s="41">
        <f t="shared" si="5"/>
        <v>3.5797899979952897E-5</v>
      </c>
      <c r="G49" s="40">
        <v>1110223</v>
      </c>
      <c r="H49" s="41">
        <f>IF(OR(G49="",G48=0),"",G49/G48)</f>
        <v>2.8566561836435248E-2</v>
      </c>
      <c r="I49" s="41">
        <f t="shared" si="3"/>
        <v>1.9837861097609581E-4</v>
      </c>
      <c r="J49" s="40">
        <f t="shared" si="4"/>
        <v>-639602</v>
      </c>
      <c r="K49" s="12"/>
    </row>
    <row r="50" spans="2:11">
      <c r="B50" s="38" t="s">
        <v>259</v>
      </c>
      <c r="C50" s="39" t="s">
        <v>308</v>
      </c>
      <c r="D50" s="40">
        <v>987854</v>
      </c>
      <c r="E50" s="41">
        <f>IF(OR(D50="",D48=0),"",D50/D48)</f>
        <v>1.2137300479456136E-2</v>
      </c>
      <c r="F50" s="41">
        <f t="shared" si="5"/>
        <v>7.5141352992740213E-5</v>
      </c>
      <c r="G50" s="40"/>
      <c r="H50" s="41" t="str">
        <f>IF(OR(G50="",G48=0),"",G50/G48)</f>
        <v/>
      </c>
      <c r="I50" s="41" t="str">
        <f t="shared" si="3"/>
        <v/>
      </c>
      <c r="J50" s="40" t="str">
        <f t="shared" si="4"/>
        <v/>
      </c>
      <c r="K50" s="12"/>
    </row>
    <row r="51" spans="2:11">
      <c r="B51" s="38" t="s">
        <v>259</v>
      </c>
      <c r="C51" s="39" t="s">
        <v>309</v>
      </c>
      <c r="D51" s="40">
        <v>24388874</v>
      </c>
      <c r="E51" s="41">
        <f>IF(OR(D51="",D48=0),"",D51/D48)</f>
        <v>0.29965469805618578</v>
      </c>
      <c r="F51" s="41">
        <f t="shared" si="5"/>
        <v>1.8551455886491972E-3</v>
      </c>
      <c r="G51" s="40">
        <v>12934430</v>
      </c>
      <c r="H51" s="41">
        <f>IF(OR(G51="",G48=0),"",G51/G48)</f>
        <v>0.33280898919770457</v>
      </c>
      <c r="I51" s="41">
        <f t="shared" si="3"/>
        <v>2.3111701497514851E-3</v>
      </c>
      <c r="J51" s="40">
        <f t="shared" si="4"/>
        <v>11454444</v>
      </c>
      <c r="K51" s="12"/>
    </row>
    <row r="52" spans="2:11">
      <c r="B52" s="38" t="s">
        <v>259</v>
      </c>
      <c r="C52" s="39" t="s">
        <v>310</v>
      </c>
      <c r="D52" s="40">
        <v>55542578</v>
      </c>
      <c r="E52" s="41">
        <f>IF(OR(D52="",D48=0),"",D52/D48)</f>
        <v>0.68242570115586909</v>
      </c>
      <c r="F52" s="41">
        <f t="shared" si="5"/>
        <v>4.2248596043796011E-3</v>
      </c>
      <c r="G52" s="40">
        <v>24819772</v>
      </c>
      <c r="H52" s="41">
        <f>IF(OR(G52="",G48=0),"",G52/G48)</f>
        <v>0.63862444896586013</v>
      </c>
      <c r="I52" s="41">
        <f t="shared" si="3"/>
        <v>4.4348855086801444E-3</v>
      </c>
      <c r="J52" s="40">
        <f t="shared" si="4"/>
        <v>30722806</v>
      </c>
      <c r="K52" s="12"/>
    </row>
    <row r="53" spans="2:11">
      <c r="B53" s="33" t="s">
        <v>75</v>
      </c>
      <c r="C53" s="8" t="s">
        <v>311</v>
      </c>
      <c r="D53" s="34">
        <f>SUM(D54:D57)</f>
        <v>4042055930</v>
      </c>
      <c r="E53" s="35"/>
      <c r="F53" s="36">
        <f t="shared" si="5"/>
        <v>0.3074599601282465</v>
      </c>
      <c r="G53" s="34">
        <f>SUM(G54:G57)</f>
        <v>2366542741</v>
      </c>
      <c r="H53" s="35"/>
      <c r="I53" s="36">
        <f t="shared" si="3"/>
        <v>0.42286230944156489</v>
      </c>
      <c r="J53" s="37">
        <f t="shared" si="4"/>
        <v>1675513189</v>
      </c>
      <c r="K53" s="12" t="s">
        <v>312</v>
      </c>
    </row>
    <row r="54" spans="2:11">
      <c r="B54" s="38" t="s">
        <v>259</v>
      </c>
      <c r="C54" s="39" t="s">
        <v>313</v>
      </c>
      <c r="D54" s="40">
        <v>4008855236</v>
      </c>
      <c r="E54" s="41">
        <f>IF(OR(D54="",D53=0),"",D54/D53)</f>
        <v>0.99178618639252725</v>
      </c>
      <c r="F54" s="41">
        <f t="shared" si="5"/>
        <v>0.30493454132399206</v>
      </c>
      <c r="G54" s="40">
        <v>2338902767</v>
      </c>
      <c r="H54" s="41">
        <f>IF(OR(G54="",G53=0),"",G54/G53)</f>
        <v>0.98832052617468447</v>
      </c>
      <c r="I54" s="41">
        <f t="shared" si="3"/>
        <v>0.41792350016672963</v>
      </c>
      <c r="J54" s="40">
        <f t="shared" si="4"/>
        <v>1669952469</v>
      </c>
      <c r="K54" s="12" t="s">
        <v>314</v>
      </c>
    </row>
    <row r="55" spans="2:11">
      <c r="B55" s="38" t="s">
        <v>259</v>
      </c>
      <c r="C55" s="39" t="s">
        <v>315</v>
      </c>
      <c r="D55" s="40"/>
      <c r="E55" s="41" t="str">
        <f>IF(OR(D55="",D53=0),"",D55/D53)</f>
        <v/>
      </c>
      <c r="F55" s="41" t="str">
        <f t="shared" si="5"/>
        <v/>
      </c>
      <c r="G55" s="40">
        <v>2575684</v>
      </c>
      <c r="H55" s="41">
        <f>IF(OR(G55="",G53=0),"",G55/G53)</f>
        <v>1.0883741735894556E-3</v>
      </c>
      <c r="I55" s="41">
        <f t="shared" si="3"/>
        <v>4.6023241658059183E-4</v>
      </c>
      <c r="J55" s="40" t="str">
        <f t="shared" si="4"/>
        <v/>
      </c>
      <c r="K55" s="12"/>
    </row>
    <row r="56" spans="2:11">
      <c r="B56" s="38" t="s">
        <v>259</v>
      </c>
      <c r="C56" s="39" t="s">
        <v>316</v>
      </c>
      <c r="D56" s="40">
        <v>6400000</v>
      </c>
      <c r="E56" s="41">
        <f>IF(OR(D56="",D53=0),"",D56/D53)</f>
        <v>1.5833526578638906E-3</v>
      </c>
      <c r="F56" s="41">
        <f t="shared" si="5"/>
        <v>4.8681754505578491E-4</v>
      </c>
      <c r="G56" s="40">
        <v>9605000</v>
      </c>
      <c r="H56" s="41">
        <f>IF(OR(G56="",G53=0),"",G56/G53)</f>
        <v>4.0586632278364586E-3</v>
      </c>
      <c r="I56" s="41">
        <f t="shared" si="3"/>
        <v>1.7162557057684811E-3</v>
      </c>
      <c r="J56" s="40">
        <f t="shared" si="4"/>
        <v>-3205000</v>
      </c>
      <c r="K56" s="12"/>
    </row>
    <row r="57" spans="2:11">
      <c r="B57" s="38" t="s">
        <v>259</v>
      </c>
      <c r="C57" s="39" t="s">
        <v>317</v>
      </c>
      <c r="D57" s="40">
        <v>26800694</v>
      </c>
      <c r="E57" s="41">
        <f>IF(OR(D57="",D53=0),"",D57/D53)</f>
        <v>6.6304609496088789E-3</v>
      </c>
      <c r="F57" s="41">
        <f t="shared" si="5"/>
        <v>2.0386012591986414E-3</v>
      </c>
      <c r="G57" s="40">
        <v>15459290</v>
      </c>
      <c r="H57" s="41">
        <f>IF(OR(G57="",G53=0),"",G57/G53)</f>
        <v>6.5324364238896291E-3</v>
      </c>
      <c r="I57" s="41">
        <f t="shared" si="3"/>
        <v>2.7623211524861655E-3</v>
      </c>
      <c r="J57" s="40">
        <f t="shared" si="4"/>
        <v>11341404</v>
      </c>
      <c r="K57" s="12"/>
    </row>
    <row r="58" spans="2:11">
      <c r="B58" s="33" t="s">
        <v>278</v>
      </c>
      <c r="C58" s="8" t="s">
        <v>318</v>
      </c>
      <c r="D58" s="34">
        <f>D45+D48-D53</f>
        <v>-6040188112</v>
      </c>
      <c r="E58" s="35"/>
      <c r="F58" s="36">
        <f t="shared" si="5"/>
        <v>-0.45944836693109009</v>
      </c>
      <c r="G58" s="34">
        <f>G45+G48-G53</f>
        <v>-5776402130</v>
      </c>
      <c r="H58" s="35"/>
      <c r="I58" s="36">
        <f t="shared" si="3"/>
        <v>-1.0321481639173042</v>
      </c>
      <c r="J58" s="37">
        <f t="shared" si="4"/>
        <v>-263785982</v>
      </c>
      <c r="K58" s="12" t="s">
        <v>319</v>
      </c>
    </row>
    <row r="59" spans="2:11">
      <c r="B59" s="33" t="s">
        <v>75</v>
      </c>
      <c r="C59" s="8" t="s">
        <v>320</v>
      </c>
      <c r="D59" s="37"/>
      <c r="E59" s="35"/>
      <c r="F59" s="36" t="str">
        <f t="shared" si="5"/>
        <v/>
      </c>
      <c r="G59" s="37"/>
      <c r="H59" s="35"/>
      <c r="I59" s="36" t="str">
        <f t="shared" si="3"/>
        <v/>
      </c>
      <c r="J59" s="37" t="str">
        <f t="shared" si="4"/>
        <v/>
      </c>
      <c r="K59" s="12" t="s">
        <v>321</v>
      </c>
    </row>
    <row r="60" spans="2:11">
      <c r="B60" s="33" t="s">
        <v>278</v>
      </c>
      <c r="C60" s="8" t="s">
        <v>322</v>
      </c>
      <c r="D60" s="34">
        <f>D58-D59</f>
        <v>-6040188112</v>
      </c>
      <c r="E60" s="35"/>
      <c r="F60" s="36">
        <f t="shared" si="5"/>
        <v>-0.45944836693109009</v>
      </c>
      <c r="G60" s="34">
        <f>G58-G59</f>
        <v>-5776402130</v>
      </c>
      <c r="H60" s="35"/>
      <c r="I60" s="36">
        <f t="shared" si="3"/>
        <v>-1.0321481639173042</v>
      </c>
      <c r="J60" s="37">
        <f t="shared" si="4"/>
        <v>-263785982</v>
      </c>
      <c r="K60" s="12" t="s">
        <v>323</v>
      </c>
    </row>
    <row r="61" spans="2:11">
      <c r="B61" s="38" t="s">
        <v>300</v>
      </c>
      <c r="C61" s="39" t="s">
        <v>324</v>
      </c>
      <c r="D61" s="40">
        <f>D60</f>
        <v>-6040188112</v>
      </c>
      <c r="E61" s="12"/>
      <c r="F61" s="41">
        <f t="shared" si="5"/>
        <v>-0.45944836693109009</v>
      </c>
      <c r="G61" s="40">
        <f>G60</f>
        <v>-5776402130</v>
      </c>
      <c r="H61" s="12"/>
      <c r="I61" s="41">
        <f t="shared" si="3"/>
        <v>-1.0321481639173042</v>
      </c>
      <c r="J61" s="40">
        <f t="shared" si="4"/>
        <v>-263785982</v>
      </c>
      <c r="K61" s="10" t="s">
        <v>325</v>
      </c>
    </row>
    <row r="62" spans="2:11">
      <c r="B62" s="38" t="s">
        <v>300</v>
      </c>
      <c r="C62" s="44" t="s">
        <v>326</v>
      </c>
      <c r="D62" s="40">
        <f>D54</f>
        <v>4008855236</v>
      </c>
      <c r="E62" s="12"/>
      <c r="F62" s="41">
        <f t="shared" si="5"/>
        <v>0.30493454132399206</v>
      </c>
      <c r="G62" s="40">
        <f>G54</f>
        <v>2338902767</v>
      </c>
      <c r="H62" s="12"/>
      <c r="I62" s="41">
        <f t="shared" si="3"/>
        <v>0.41792350016672963</v>
      </c>
      <c r="J62" s="40">
        <f t="shared" si="4"/>
        <v>1669952469</v>
      </c>
      <c r="K62" s="10" t="s">
        <v>327</v>
      </c>
    </row>
    <row r="63" spans="2:11">
      <c r="B63" s="38" t="s">
        <v>300</v>
      </c>
      <c r="C63" s="44" t="s">
        <v>328</v>
      </c>
      <c r="D63" s="40">
        <f>D59</f>
        <v>0</v>
      </c>
      <c r="E63" s="12"/>
      <c r="F63" s="41">
        <f t="shared" si="5"/>
        <v>0</v>
      </c>
      <c r="G63" s="40">
        <f>G59</f>
        <v>0</v>
      </c>
      <c r="H63" s="12"/>
      <c r="I63" s="41">
        <f t="shared" si="3"/>
        <v>0</v>
      </c>
      <c r="J63" s="40">
        <f t="shared" si="4"/>
        <v>0</v>
      </c>
      <c r="K63" s="10" t="s">
        <v>327</v>
      </c>
    </row>
    <row r="64" spans="2:11">
      <c r="B64" s="38" t="s">
        <v>300</v>
      </c>
      <c r="C64" s="44" t="s">
        <v>329</v>
      </c>
      <c r="D64" s="40">
        <f>D15</f>
        <v>3349232000</v>
      </c>
      <c r="E64" s="12"/>
      <c r="F64" s="41">
        <f t="shared" si="5"/>
        <v>0.25476014063473074</v>
      </c>
      <c r="G64" s="40">
        <f>G15</f>
        <v>1665933000</v>
      </c>
      <c r="H64" s="12"/>
      <c r="I64" s="41">
        <f t="shared" si="3"/>
        <v>0.29767485858178061</v>
      </c>
      <c r="J64" s="40">
        <f t="shared" si="4"/>
        <v>1683299000</v>
      </c>
      <c r="K64" s="10" t="s">
        <v>327</v>
      </c>
    </row>
    <row r="65" spans="2:11">
      <c r="B65" s="38" t="s">
        <v>300</v>
      </c>
      <c r="C65" s="39" t="s">
        <v>330</v>
      </c>
      <c r="D65" s="40">
        <f>SUM(D61:D64)</f>
        <v>1317899124</v>
      </c>
      <c r="E65" s="12"/>
      <c r="F65" s="41">
        <f t="shared" si="5"/>
        <v>0.10024631502763273</v>
      </c>
      <c r="G65" s="40">
        <f>SUM(G61:G64)</f>
        <v>-1771566363</v>
      </c>
      <c r="H65" s="12"/>
      <c r="I65" s="41">
        <f t="shared" si="3"/>
        <v>-0.316549805168794</v>
      </c>
      <c r="J65" s="40">
        <f t="shared" si="4"/>
        <v>3089465487</v>
      </c>
      <c r="K65" s="10" t="s">
        <v>327</v>
      </c>
    </row>
    <row r="66" spans="2:11">
      <c r="B66" s="38" t="s">
        <v>300</v>
      </c>
      <c r="C66" s="44" t="s">
        <v>331</v>
      </c>
      <c r="D66" s="40">
        <f>-D48</f>
        <v>-81389927</v>
      </c>
      <c r="E66" s="12"/>
      <c r="F66" s="41">
        <f t="shared" si="5"/>
        <v>-6.1909444460014913E-3</v>
      </c>
      <c r="G66" s="40">
        <f>-G48</f>
        <v>-38864425</v>
      </c>
      <c r="H66" s="12"/>
      <c r="I66" s="41">
        <f t="shared" si="3"/>
        <v>-6.9444342694077255E-3</v>
      </c>
      <c r="J66" s="40">
        <f t="shared" si="4"/>
        <v>-42525502</v>
      </c>
      <c r="K66" s="10" t="s">
        <v>327</v>
      </c>
    </row>
    <row r="67" spans="2:11">
      <c r="B67" s="38" t="s">
        <v>300</v>
      </c>
      <c r="C67" s="44" t="s">
        <v>332</v>
      </c>
      <c r="D67" s="40">
        <f>D53-D54</f>
        <v>33200694</v>
      </c>
      <c r="E67" s="12"/>
      <c r="F67" s="41">
        <f t="shared" si="5"/>
        <v>2.5254188042544263E-3</v>
      </c>
      <c r="G67" s="40">
        <f>G53-G54</f>
        <v>27639974</v>
      </c>
      <c r="H67" s="12"/>
      <c r="I67" s="41">
        <f t="shared" si="3"/>
        <v>4.9388092748352385E-3</v>
      </c>
      <c r="J67" s="40">
        <f t="shared" si="4"/>
        <v>5560720</v>
      </c>
      <c r="K67" s="10" t="s">
        <v>327</v>
      </c>
    </row>
    <row r="68" spans="2:11">
      <c r="B68" s="45" t="s">
        <v>300</v>
      </c>
      <c r="C68" s="50" t="s">
        <v>333</v>
      </c>
      <c r="D68" s="47">
        <f>D65+D66+D67</f>
        <v>1269709891</v>
      </c>
      <c r="E68" s="24"/>
      <c r="F68" s="48">
        <f t="shared" si="5"/>
        <v>9.6580789385885671E-2</v>
      </c>
      <c r="G68" s="47">
        <f>G65+G66+G67</f>
        <v>-1782790814</v>
      </c>
      <c r="H68" s="24"/>
      <c r="I68" s="48">
        <f t="shared" si="3"/>
        <v>-0.31855543016336646</v>
      </c>
      <c r="J68" s="49">
        <f t="shared" si="4"/>
        <v>3052500705</v>
      </c>
      <c r="K68" s="10" t="s">
        <v>334</v>
      </c>
    </row>
    <row r="70" spans="2:11">
      <c r="C70" s="3" t="s">
        <v>335</v>
      </c>
    </row>
    <row r="71" spans="2:11">
      <c r="C71" s="3" t="s">
        <v>336</v>
      </c>
    </row>
    <row r="72" spans="2:11">
      <c r="C72" s="3" t="s">
        <v>337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I25"/>
  <sheetViews>
    <sheetView zoomScale="85" zoomScaleNormal="85" workbookViewId="0">
      <selection activeCell="F23" sqref="F23"/>
    </sheetView>
  </sheetViews>
  <sheetFormatPr defaultColWidth="8.7109375" defaultRowHeight="15"/>
  <cols>
    <col min="1" max="1" width="2" customWidth="1"/>
    <col min="2" max="2" width="30" customWidth="1"/>
    <col min="3" max="8" width="15" customWidth="1"/>
    <col min="9" max="9" width="50" customWidth="1"/>
  </cols>
  <sheetData>
    <row r="1" spans="2:9" ht="26.25">
      <c r="B1" s="2" t="s">
        <v>338</v>
      </c>
    </row>
    <row r="2" spans="2:9">
      <c r="B2" s="3" t="s">
        <v>339</v>
      </c>
    </row>
    <row r="4" spans="2:9" ht="16.5">
      <c r="B4" s="25" t="s">
        <v>340</v>
      </c>
    </row>
    <row r="5" spans="2:9">
      <c r="B5" s="4" t="s">
        <v>341</v>
      </c>
      <c r="C5" s="4" t="s">
        <v>342</v>
      </c>
      <c r="D5" s="4" t="s">
        <v>343</v>
      </c>
      <c r="E5" s="4" t="s">
        <v>344</v>
      </c>
      <c r="F5" s="4" t="s">
        <v>345</v>
      </c>
      <c r="G5" s="4" t="s">
        <v>346</v>
      </c>
      <c r="H5" s="4" t="s">
        <v>347</v>
      </c>
      <c r="I5" s="4" t="s">
        <v>137</v>
      </c>
    </row>
    <row r="6" spans="2:9">
      <c r="B6" s="12" t="s">
        <v>217</v>
      </c>
      <c r="C6" s="40">
        <v>1822879</v>
      </c>
      <c r="D6" s="40">
        <v>1253988</v>
      </c>
      <c r="E6" s="40">
        <f>C6+D6</f>
        <v>3076867</v>
      </c>
      <c r="F6" s="40">
        <v>925393</v>
      </c>
      <c r="G6" s="40">
        <v>598243</v>
      </c>
      <c r="H6" s="40">
        <f>F6+G6</f>
        <v>1523636</v>
      </c>
      <c r="I6" s="12"/>
    </row>
    <row r="7" spans="2:9">
      <c r="B7" s="12" t="s">
        <v>218</v>
      </c>
      <c r="C7" s="40">
        <v>152420</v>
      </c>
      <c r="D7" s="40">
        <v>148252</v>
      </c>
      <c r="E7" s="40">
        <f>C7+D7</f>
        <v>300672</v>
      </c>
      <c r="F7" s="40">
        <v>47090</v>
      </c>
      <c r="G7" s="40">
        <v>21645</v>
      </c>
      <c r="H7" s="40">
        <f>F7+G7</f>
        <v>68735</v>
      </c>
      <c r="I7" s="12"/>
    </row>
    <row r="8" spans="2:9">
      <c r="B8" s="12" t="s">
        <v>219</v>
      </c>
      <c r="C8" s="40">
        <v>147553</v>
      </c>
      <c r="D8" s="40">
        <v>267351</v>
      </c>
      <c r="E8" s="40">
        <f>C8+D8</f>
        <v>414904</v>
      </c>
      <c r="F8" s="40">
        <v>149856</v>
      </c>
      <c r="G8" s="40">
        <v>122501</v>
      </c>
      <c r="H8" s="40">
        <f>F8+G8</f>
        <v>272357</v>
      </c>
      <c r="I8" s="12"/>
    </row>
    <row r="9" spans="2:9">
      <c r="B9" s="51" t="s">
        <v>348</v>
      </c>
      <c r="C9" s="52">
        <f t="shared" ref="C9:H9" si="0">SUM(C6:C8)</f>
        <v>2122852</v>
      </c>
      <c r="D9" s="52">
        <f t="shared" si="0"/>
        <v>1669591</v>
      </c>
      <c r="E9" s="52">
        <f t="shared" si="0"/>
        <v>3792443</v>
      </c>
      <c r="F9" s="52">
        <f t="shared" si="0"/>
        <v>1122339</v>
      </c>
      <c r="G9" s="52">
        <f t="shared" si="0"/>
        <v>742389</v>
      </c>
      <c r="H9" s="52">
        <f t="shared" si="0"/>
        <v>1864728</v>
      </c>
      <c r="I9" s="102"/>
    </row>
    <row r="10" spans="2:9">
      <c r="B10" s="12" t="s">
        <v>221</v>
      </c>
      <c r="C10" s="40">
        <v>0</v>
      </c>
      <c r="D10" s="40">
        <v>3349232</v>
      </c>
      <c r="E10" s="40">
        <f>C10+D10</f>
        <v>3349232</v>
      </c>
      <c r="F10" s="40">
        <v>0</v>
      </c>
      <c r="G10" s="40">
        <v>1665933</v>
      </c>
      <c r="H10" s="40">
        <f>F10+G10</f>
        <v>1665933</v>
      </c>
      <c r="I10" s="12"/>
    </row>
    <row r="11" spans="2:9">
      <c r="B11" s="12" t="s">
        <v>223</v>
      </c>
      <c r="C11" s="40">
        <v>62972</v>
      </c>
      <c r="D11" s="40">
        <v>48282</v>
      </c>
      <c r="E11" s="40">
        <f>C11+D11</f>
        <v>111254</v>
      </c>
      <c r="F11" s="40">
        <v>28336</v>
      </c>
      <c r="G11" s="40">
        <v>67295</v>
      </c>
      <c r="H11" s="40">
        <f>F11+G11</f>
        <v>95631</v>
      </c>
      <c r="I11" s="12"/>
    </row>
    <row r="12" spans="2:9">
      <c r="B12" s="12" t="s">
        <v>224</v>
      </c>
      <c r="C12" s="40">
        <v>74136</v>
      </c>
      <c r="D12" s="40">
        <v>30929</v>
      </c>
      <c r="E12" s="40">
        <f>C12+D12</f>
        <v>105065</v>
      </c>
      <c r="F12" s="40">
        <v>29850</v>
      </c>
      <c r="G12" s="40">
        <v>0</v>
      </c>
      <c r="H12" s="40">
        <f>F12+G12</f>
        <v>29850</v>
      </c>
      <c r="I12" s="12"/>
    </row>
    <row r="13" spans="2:9">
      <c r="B13" s="5" t="s">
        <v>349</v>
      </c>
      <c r="C13" s="34">
        <f t="shared" ref="C13:H13" si="1">C9+SUM(C10:C12)</f>
        <v>2259960</v>
      </c>
      <c r="D13" s="34">
        <f t="shared" si="1"/>
        <v>5098034</v>
      </c>
      <c r="E13" s="34">
        <f t="shared" si="1"/>
        <v>7357994</v>
      </c>
      <c r="F13" s="34">
        <f t="shared" si="1"/>
        <v>1180525</v>
      </c>
      <c r="G13" s="34">
        <f t="shared" si="1"/>
        <v>2475617</v>
      </c>
      <c r="H13" s="34">
        <f t="shared" si="1"/>
        <v>3656142</v>
      </c>
      <c r="I13" s="102"/>
    </row>
    <row r="14" spans="2:9">
      <c r="B14" s="53" t="s">
        <v>350</v>
      </c>
      <c r="D14" s="54">
        <f>ROUND(손익계산서_원본!$D$11/1000,0)-D13</f>
        <v>7148775</v>
      </c>
      <c r="I14" s="3" t="s">
        <v>351</v>
      </c>
    </row>
    <row r="15" spans="2:9">
      <c r="B15" s="3" t="s">
        <v>352</v>
      </c>
    </row>
    <row r="17" spans="2:9" ht="16.5">
      <c r="B17" s="25" t="s">
        <v>353</v>
      </c>
    </row>
    <row r="18" spans="2:9">
      <c r="B18" s="4" t="s">
        <v>75</v>
      </c>
      <c r="C18" s="4" t="s">
        <v>354</v>
      </c>
      <c r="D18" s="4" t="s">
        <v>355</v>
      </c>
      <c r="E18" s="119"/>
      <c r="F18" s="119"/>
      <c r="G18" s="119"/>
      <c r="H18" s="119"/>
      <c r="I18" s="4" t="s">
        <v>356</v>
      </c>
    </row>
    <row r="19" spans="2:9">
      <c r="B19" s="12" t="s">
        <v>357</v>
      </c>
      <c r="C19" s="40">
        <v>300671000</v>
      </c>
      <c r="D19" s="40"/>
      <c r="I19" s="12" t="s">
        <v>358</v>
      </c>
    </row>
    <row r="20" spans="2:9">
      <c r="B20" s="12" t="s">
        <v>359</v>
      </c>
      <c r="C20" s="40">
        <v>-4645599309</v>
      </c>
      <c r="D20" s="40">
        <v>-5004878618</v>
      </c>
      <c r="I20" s="12" t="s">
        <v>360</v>
      </c>
    </row>
    <row r="21" spans="2:9">
      <c r="B21" s="12" t="s">
        <v>361</v>
      </c>
      <c r="C21" s="40">
        <v>664296932</v>
      </c>
      <c r="D21" s="40">
        <v>212619820</v>
      </c>
      <c r="I21" s="12" t="s">
        <v>362</v>
      </c>
    </row>
    <row r="25" spans="2:9">
      <c r="G25" s="117"/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J88"/>
  <sheetViews>
    <sheetView topLeftCell="A52" zoomScale="85" zoomScaleNormal="85" workbookViewId="0">
      <selection activeCell="I79" sqref="I79"/>
    </sheetView>
  </sheetViews>
  <sheetFormatPr defaultColWidth="8.7109375" defaultRowHeight="15"/>
  <cols>
    <col min="1" max="1" width="2" customWidth="1"/>
    <col min="2" max="2" width="36" customWidth="1"/>
    <col min="3" max="3" width="18" customWidth="1"/>
    <col min="4" max="5" width="12" customWidth="1"/>
    <col min="6" max="6" width="29" bestFit="1" customWidth="1"/>
    <col min="7" max="9" width="16" customWidth="1"/>
    <col min="10" max="10" width="60" customWidth="1"/>
  </cols>
  <sheetData>
    <row r="1" spans="2:10" ht="26.25">
      <c r="B1" s="2" t="s">
        <v>363</v>
      </c>
    </row>
    <row r="2" spans="2:10">
      <c r="B2" s="3" t="s">
        <v>364</v>
      </c>
    </row>
    <row r="4" spans="2:10" ht="16.5">
      <c r="B4" s="25" t="s">
        <v>365</v>
      </c>
    </row>
    <row r="5" spans="2:10">
      <c r="B5" s="4" t="s">
        <v>75</v>
      </c>
      <c r="C5" s="4" t="s">
        <v>366</v>
      </c>
      <c r="D5" s="119"/>
      <c r="E5" s="119"/>
      <c r="F5" s="119"/>
      <c r="G5" s="119"/>
      <c r="H5" s="119"/>
      <c r="I5" s="119"/>
      <c r="J5" s="4" t="s">
        <v>367</v>
      </c>
    </row>
    <row r="6" spans="2:10">
      <c r="B6" s="12" t="s">
        <v>212</v>
      </c>
      <c r="C6" s="40">
        <f>손익계산서_원본!$D$6</f>
        <v>12813966995</v>
      </c>
      <c r="D6" s="122"/>
      <c r="E6" s="122"/>
      <c r="F6" s="122"/>
      <c r="G6" s="122"/>
      <c r="H6" s="122"/>
      <c r="I6" s="122"/>
      <c r="J6" s="12" t="s">
        <v>368</v>
      </c>
    </row>
    <row r="7" spans="2:10">
      <c r="B7" s="12" t="s">
        <v>369</v>
      </c>
      <c r="C7" s="40">
        <f>손익계산서_원본!$D$5</f>
        <v>13146609166</v>
      </c>
      <c r="D7" s="122"/>
      <c r="E7" s="122"/>
      <c r="F7" s="122"/>
      <c r="G7" s="122"/>
      <c r="H7" s="122"/>
      <c r="I7" s="122"/>
      <c r="J7" s="12" t="s">
        <v>370</v>
      </c>
    </row>
    <row r="8" spans="2:10">
      <c r="B8" s="12" t="s">
        <v>371</v>
      </c>
      <c r="C8" s="40">
        <f>원가구조_기준!$C$7-원가구조_기준!$C$6</f>
        <v>332642171</v>
      </c>
      <c r="D8" s="122"/>
      <c r="E8" s="122"/>
      <c r="F8" s="122"/>
      <c r="G8" s="122"/>
      <c r="H8" s="122"/>
      <c r="I8" s="122"/>
      <c r="J8" s="12" t="s">
        <v>372</v>
      </c>
    </row>
    <row r="9" spans="2:10">
      <c r="B9" s="12" t="s">
        <v>214</v>
      </c>
      <c r="C9" s="40">
        <f>손익계산서_원본!$D$7</f>
        <v>323042171</v>
      </c>
      <c r="D9" s="122"/>
      <c r="E9" s="122"/>
      <c r="F9" s="122"/>
      <c r="G9" s="122"/>
      <c r="H9" s="122"/>
      <c r="I9" s="122"/>
      <c r="J9" s="12"/>
    </row>
    <row r="10" spans="2:10">
      <c r="B10" s="12" t="s">
        <v>373</v>
      </c>
      <c r="C10" s="40">
        <f>원가구조_기준!$C$8-원가구조_기준!$C$9</f>
        <v>9600000</v>
      </c>
      <c r="D10" s="122"/>
      <c r="E10" s="122"/>
      <c r="F10" s="122"/>
      <c r="G10" s="122"/>
      <c r="H10" s="122"/>
      <c r="I10" s="122"/>
      <c r="J10" s="12"/>
    </row>
    <row r="11" spans="2:10">
      <c r="B11" s="12" t="s">
        <v>374</v>
      </c>
      <c r="C11" s="40">
        <f>손익계산서_원본!$D$10</f>
        <v>12246808749</v>
      </c>
      <c r="D11" s="122"/>
      <c r="E11" s="122"/>
      <c r="F11" s="122"/>
      <c r="G11" s="122"/>
      <c r="H11" s="122"/>
      <c r="I11" s="122"/>
      <c r="J11" s="12"/>
    </row>
    <row r="12" spans="2:10">
      <c r="B12" s="12" t="s">
        <v>149</v>
      </c>
      <c r="C12" s="40">
        <f>손익계산서_원본!$D$25</f>
        <v>2979322526</v>
      </c>
      <c r="D12" s="122"/>
      <c r="E12" s="122"/>
      <c r="F12" s="122"/>
      <c r="G12" s="122"/>
      <c r="H12" s="122"/>
      <c r="I12" s="122"/>
      <c r="J12" s="12"/>
    </row>
    <row r="13" spans="2:10">
      <c r="B13" s="12" t="s">
        <v>375</v>
      </c>
      <c r="C13" s="40">
        <f>손익계산서_원본!$D$45</f>
        <v>-2079522109</v>
      </c>
      <c r="D13" s="122"/>
      <c r="E13" s="122"/>
      <c r="F13" s="122"/>
      <c r="G13" s="122"/>
      <c r="H13" s="122"/>
      <c r="I13" s="122"/>
      <c r="J13" s="12"/>
    </row>
    <row r="14" spans="2:10">
      <c r="B14" s="12" t="s">
        <v>143</v>
      </c>
      <c r="C14" s="40">
        <f>손익계산서_원본!$D$15</f>
        <v>3349232000</v>
      </c>
      <c r="D14" s="122"/>
      <c r="E14" s="122"/>
      <c r="F14" s="122"/>
      <c r="G14" s="122"/>
      <c r="H14" s="122"/>
      <c r="I14" s="122"/>
      <c r="J14" s="12" t="s">
        <v>376</v>
      </c>
    </row>
    <row r="15" spans="2:10">
      <c r="B15" s="55" t="s">
        <v>303</v>
      </c>
      <c r="C15" s="52">
        <f>원가구조_기준!$C$13+원가구조_기준!$C$14</f>
        <v>1269709891</v>
      </c>
      <c r="D15" s="122"/>
      <c r="E15" s="122"/>
      <c r="F15" s="122"/>
      <c r="G15" s="122"/>
      <c r="H15" s="122"/>
      <c r="I15" s="122"/>
      <c r="J15" s="12" t="s">
        <v>10</v>
      </c>
    </row>
    <row r="16" spans="2:10">
      <c r="B16" s="12" t="s">
        <v>377</v>
      </c>
      <c r="C16" s="40">
        <f>손익계산서_원본!$D$26+손익계산서_원본!$D$27+손익계산서_원본!$D$28</f>
        <v>2122852250</v>
      </c>
      <c r="D16" s="122"/>
      <c r="E16" s="122"/>
      <c r="F16" s="122"/>
      <c r="G16" s="122"/>
      <c r="H16" s="122"/>
      <c r="I16" s="122"/>
      <c r="J16" s="12"/>
    </row>
    <row r="17" spans="2:10">
      <c r="B17" s="12" t="s">
        <v>378</v>
      </c>
      <c r="C17" s="40">
        <f>원가구조_기준!$C$12-원가구조_기준!$C$16</f>
        <v>856470276</v>
      </c>
      <c r="D17" s="122"/>
      <c r="E17" s="122"/>
      <c r="F17" s="122"/>
      <c r="G17" s="122"/>
      <c r="H17" s="122"/>
      <c r="I17" s="122"/>
      <c r="J17" s="12"/>
    </row>
    <row r="18" spans="2:10">
      <c r="B18" s="12" t="s">
        <v>153</v>
      </c>
      <c r="C18" s="40">
        <f>손익계산서_원본!$D$42</f>
        <v>540820215</v>
      </c>
      <c r="D18" s="122"/>
      <c r="E18" s="122"/>
      <c r="F18" s="122"/>
      <c r="G18" s="122"/>
      <c r="H18" s="122"/>
      <c r="I18" s="122"/>
      <c r="J18" s="12"/>
    </row>
    <row r="19" spans="2:10">
      <c r="B19" s="12" t="s">
        <v>379</v>
      </c>
      <c r="C19" s="40">
        <f>원가구조_기준!$C$17-원가구조_기준!$C$18</f>
        <v>315650061</v>
      </c>
      <c r="D19" s="122"/>
      <c r="E19" s="122"/>
      <c r="F19" s="122"/>
      <c r="G19" s="122"/>
      <c r="H19" s="122"/>
      <c r="I19" s="122"/>
      <c r="J19" s="12"/>
    </row>
    <row r="20" spans="2:10">
      <c r="B20" s="12" t="s">
        <v>380</v>
      </c>
      <c r="C20" s="40">
        <f>손익계산서_원본!$D$12+손익계산서_원본!$D$13+손익계산서_원본!$D$14</f>
        <v>1669591000</v>
      </c>
      <c r="D20" s="122"/>
      <c r="E20" s="122"/>
      <c r="F20" s="122"/>
      <c r="G20" s="122"/>
      <c r="H20" s="122"/>
      <c r="I20" s="122"/>
      <c r="J20" s="12" t="s">
        <v>381</v>
      </c>
    </row>
    <row r="21" spans="2:10">
      <c r="B21" s="12" t="s">
        <v>382</v>
      </c>
      <c r="C21" s="40">
        <f>원가구조_기준!$C$16+원가구조_기준!$C$20</f>
        <v>3792443250</v>
      </c>
      <c r="D21" s="122"/>
      <c r="E21" s="122"/>
      <c r="F21" s="122"/>
      <c r="G21" s="122"/>
      <c r="H21" s="122"/>
      <c r="I21" s="122"/>
      <c r="J21" s="12"/>
    </row>
    <row r="22" spans="2:10">
      <c r="B22" s="12" t="s">
        <v>383</v>
      </c>
      <c r="C22" s="40">
        <f>손익계산서_원본!$D$16+손익계산서_원본!$D$17</f>
        <v>79211000</v>
      </c>
      <c r="D22" s="122"/>
      <c r="E22" s="122"/>
      <c r="F22" s="122"/>
      <c r="G22" s="122"/>
      <c r="H22" s="122"/>
      <c r="I22" s="122"/>
      <c r="J22" s="12"/>
    </row>
    <row r="23" spans="2:10">
      <c r="B23" s="12" t="s">
        <v>384</v>
      </c>
      <c r="C23" s="40">
        <f>원가구조_기준!$C$20+원가구조_기준!$C$14+원가구조_기준!$C$22</f>
        <v>5098034000</v>
      </c>
      <c r="D23" s="122"/>
      <c r="E23" s="122"/>
      <c r="F23" s="122"/>
      <c r="G23" s="122"/>
      <c r="H23" s="122"/>
      <c r="I23" s="122"/>
      <c r="J23" s="12"/>
    </row>
    <row r="24" spans="2:10">
      <c r="B24" s="51" t="s">
        <v>385</v>
      </c>
      <c r="C24" s="52">
        <f>원가구조_기준!$C$11-원가구조_기준!$C$23</f>
        <v>7148774749</v>
      </c>
      <c r="D24" s="122"/>
      <c r="E24" s="122"/>
      <c r="F24" s="122"/>
      <c r="G24" s="122"/>
      <c r="H24" s="122"/>
      <c r="I24" s="122"/>
      <c r="J24" s="12" t="s">
        <v>386</v>
      </c>
    </row>
    <row r="25" spans="2:10" ht="16.5">
      <c r="B25" s="25" t="s">
        <v>387</v>
      </c>
    </row>
    <row r="26" spans="2:10">
      <c r="B26" s="4" t="s">
        <v>75</v>
      </c>
      <c r="C26" s="4" t="s">
        <v>76</v>
      </c>
      <c r="D26" s="119"/>
      <c r="E26" s="119"/>
      <c r="F26" s="119"/>
      <c r="G26" s="119"/>
      <c r="H26" s="119"/>
      <c r="I26" s="119"/>
      <c r="J26" s="4" t="s">
        <v>367</v>
      </c>
    </row>
    <row r="27" spans="2:10">
      <c r="B27" s="12" t="s">
        <v>388</v>
      </c>
      <c r="C27" s="40">
        <f>원가구조_기준!$C$16/설정값!$D$90</f>
        <v>70761741.666666672</v>
      </c>
      <c r="D27" s="122"/>
      <c r="E27" s="122"/>
      <c r="F27" s="122"/>
      <c r="G27" s="122"/>
      <c r="H27" s="122"/>
      <c r="I27" s="122"/>
      <c r="J27" s="12" t="s">
        <v>389</v>
      </c>
    </row>
    <row r="28" spans="2:10">
      <c r="B28" s="51" t="s">
        <v>390</v>
      </c>
      <c r="C28" s="52">
        <f>(손익계산서_원본!$D$26+손익계산서_원본!$D$28)/설정값!$D$90</f>
        <v>65681068.56666667</v>
      </c>
      <c r="D28" s="122"/>
      <c r="E28" s="122"/>
      <c r="F28" s="122"/>
      <c r="G28" s="122"/>
      <c r="H28" s="122"/>
      <c r="I28" s="122"/>
      <c r="J28" s="10" t="s">
        <v>391</v>
      </c>
    </row>
    <row r="29" spans="2:10">
      <c r="B29" s="12" t="s">
        <v>392</v>
      </c>
      <c r="C29" s="40">
        <f>손익계산서_원본!$D$27/설정값!$D$90</f>
        <v>5080673.0999999996</v>
      </c>
      <c r="D29" s="122"/>
      <c r="E29" s="122"/>
      <c r="F29" s="122"/>
      <c r="G29" s="122"/>
      <c r="H29" s="122"/>
      <c r="I29" s="122"/>
      <c r="J29" s="12"/>
    </row>
    <row r="30" spans="2:10">
      <c r="B30" s="12" t="s">
        <v>393</v>
      </c>
      <c r="C30" s="40">
        <f>원가구조_기준!$C$28/12</f>
        <v>5473422.3805555562</v>
      </c>
      <c r="D30" s="122"/>
      <c r="E30" s="122"/>
      <c r="F30" s="122"/>
      <c r="G30" s="122"/>
      <c r="H30" s="122"/>
      <c r="I30" s="122"/>
      <c r="J30" s="12"/>
    </row>
    <row r="31" spans="2:10">
      <c r="B31" s="12" t="s">
        <v>394</v>
      </c>
      <c r="C31" s="56">
        <f>MAX(1,설정값!$D$9+설정값!$D$10)</f>
        <v>20</v>
      </c>
      <c r="D31" s="122"/>
      <c r="E31" s="122"/>
      <c r="F31" s="122"/>
      <c r="G31" s="122"/>
      <c r="H31" s="122"/>
      <c r="I31" s="122"/>
      <c r="J31" s="12"/>
    </row>
    <row r="32" spans="2:10">
      <c r="B32" s="12" t="s">
        <v>395</v>
      </c>
      <c r="C32" s="40">
        <f>원가구조_기준!$C$20/원가구조_기준!$C$31</f>
        <v>83479550</v>
      </c>
      <c r="D32" s="122"/>
      <c r="E32" s="122"/>
      <c r="F32" s="122"/>
      <c r="G32" s="122"/>
      <c r="H32" s="122"/>
      <c r="I32" s="122"/>
      <c r="J32" s="12"/>
    </row>
    <row r="33" spans="2:10">
      <c r="B33" s="12" t="s">
        <v>396</v>
      </c>
      <c r="C33" s="57">
        <f>원가구조_기준!$C$32/원가구조_기준!$C$28</f>
        <v>1.2709834328481999</v>
      </c>
      <c r="D33" s="122"/>
      <c r="E33" s="122"/>
      <c r="F33" s="122"/>
      <c r="G33" s="122"/>
      <c r="H33" s="122"/>
      <c r="I33" s="122"/>
      <c r="J33" s="12"/>
    </row>
    <row r="34" spans="2:10">
      <c r="B34" s="12" t="s">
        <v>397</v>
      </c>
      <c r="C34" s="40">
        <f>설정값!$D$8*원가구조_기준!$C$27</f>
        <v>2122852250.0000002</v>
      </c>
      <c r="D34" s="122"/>
      <c r="E34" s="122"/>
      <c r="F34" s="122"/>
      <c r="G34" s="122"/>
      <c r="H34" s="122"/>
      <c r="I34" s="122"/>
      <c r="J34" s="12" t="s">
        <v>398</v>
      </c>
    </row>
    <row r="35" spans="2:10" ht="16.5">
      <c r="B35" s="25" t="s">
        <v>399</v>
      </c>
    </row>
    <row r="36" spans="2:10">
      <c r="B36" s="4" t="s">
        <v>400</v>
      </c>
      <c r="C36" s="4" t="s">
        <v>90</v>
      </c>
      <c r="D36" s="4" t="s">
        <v>401</v>
      </c>
      <c r="E36" s="4" t="s">
        <v>252</v>
      </c>
      <c r="F36" s="119"/>
      <c r="G36" s="119"/>
      <c r="H36" s="119"/>
      <c r="I36" s="119"/>
      <c r="J36" s="4" t="s">
        <v>137</v>
      </c>
    </row>
    <row r="37" spans="2:10">
      <c r="B37" s="12" t="s">
        <v>402</v>
      </c>
      <c r="C37" s="40">
        <f>설정값!$D$12*운임_화물_선박!$C$12</f>
        <v>81000</v>
      </c>
      <c r="D37" s="58">
        <f>운임_화물_선박!$C$12</f>
        <v>1</v>
      </c>
      <c r="E37" s="41">
        <f>MAX(0,설정값!$D$14)</f>
        <v>1</v>
      </c>
      <c r="F37" s="122"/>
      <c r="G37" s="122"/>
      <c r="H37" s="122"/>
      <c r="I37" s="122"/>
      <c r="J37" s="102"/>
    </row>
    <row r="38" spans="2:10">
      <c r="B38" s="12" t="s">
        <v>403</v>
      </c>
      <c r="C38" s="40">
        <f>설정값!$D$12*운임_화물_선박!$E$12</f>
        <v>121500</v>
      </c>
      <c r="D38" s="58">
        <f>운임_화물_선박!$E$12</f>
        <v>1.5</v>
      </c>
      <c r="E38" s="41">
        <f>MAX(0,설정값!$D$15)</f>
        <v>0</v>
      </c>
      <c r="F38" s="122"/>
      <c r="G38" s="122"/>
      <c r="H38" s="122"/>
      <c r="I38" s="122"/>
      <c r="J38" s="102"/>
    </row>
    <row r="39" spans="2:10">
      <c r="B39" s="12" t="s">
        <v>404</v>
      </c>
      <c r="C39" s="40">
        <f>설정값!$D$12*운임_화물_선박!$G$12</f>
        <v>171500</v>
      </c>
      <c r="D39" s="58">
        <f>운임_화물_선박!$G$12</f>
        <v>2.117283950617284</v>
      </c>
      <c r="E39" s="41">
        <f>MAX(0,설정값!$D$16)</f>
        <v>0</v>
      </c>
      <c r="F39" s="122"/>
      <c r="G39" s="122"/>
      <c r="H39" s="122"/>
      <c r="I39" s="122"/>
      <c r="J39" s="102"/>
    </row>
    <row r="40" spans="2:10">
      <c r="B40" s="12" t="s">
        <v>405</v>
      </c>
      <c r="C40" s="41">
        <f>SUM(E37:E39)</f>
        <v>1</v>
      </c>
      <c r="D40" s="102"/>
      <c r="E40" s="102"/>
      <c r="F40" s="122"/>
      <c r="G40" s="122"/>
      <c r="H40" s="122"/>
      <c r="I40" s="122"/>
      <c r="J40" s="12"/>
    </row>
    <row r="41" spans="2:10">
      <c r="B41" s="12" t="s">
        <v>406</v>
      </c>
      <c r="C41" s="58">
        <f>SUMPRODUCT(D37:D39,E37:E39)</f>
        <v>1</v>
      </c>
      <c r="D41" s="102"/>
      <c r="E41" s="102"/>
      <c r="F41" s="122"/>
      <c r="G41" s="122"/>
      <c r="H41" s="122"/>
      <c r="I41" s="122"/>
      <c r="J41" s="12"/>
    </row>
    <row r="42" spans="2:10">
      <c r="B42" s="12" t="s">
        <v>407</v>
      </c>
      <c r="C42" s="40">
        <f>IF(원가구조_기준!$C$41&gt;0,설정값!$D$12*원가구조_기준!$C$41/원가구조_기준!$C$40,설정값!$D$12)</f>
        <v>81000</v>
      </c>
      <c r="D42" s="102"/>
      <c r="E42" s="102"/>
      <c r="F42" s="122"/>
      <c r="G42" s="122"/>
      <c r="H42" s="122"/>
      <c r="I42" s="122"/>
      <c r="J42" s="12" t="s">
        <v>408</v>
      </c>
    </row>
    <row r="43" spans="2:10">
      <c r="B43" s="10" t="s">
        <v>409</v>
      </c>
      <c r="C43" s="40">
        <f>설정값!$D$13</f>
        <v>7950</v>
      </c>
      <c r="D43" s="102"/>
      <c r="E43" s="102"/>
      <c r="F43" s="122"/>
      <c r="G43" s="122"/>
      <c r="H43" s="122"/>
      <c r="I43" s="122"/>
      <c r="J43" s="12"/>
    </row>
    <row r="44" spans="2:10">
      <c r="B44" s="59" t="s">
        <v>410</v>
      </c>
      <c r="C44" s="47">
        <f>원가구조_기준!$C$42+원가구조_기준!$C$43</f>
        <v>88950</v>
      </c>
      <c r="D44" s="102"/>
      <c r="E44" s="102"/>
      <c r="F44" s="122"/>
      <c r="G44" s="122"/>
      <c r="H44" s="122"/>
      <c r="I44" s="122"/>
      <c r="J44" s="12" t="s">
        <v>411</v>
      </c>
    </row>
    <row r="45" spans="2:10">
      <c r="B45" s="51" t="s">
        <v>412</v>
      </c>
      <c r="C45" s="60">
        <f>원가구조_기준!$C$6/원가구조_기준!$C$44</f>
        <v>144058.08875772907</v>
      </c>
      <c r="D45" s="102"/>
      <c r="E45" s="102"/>
      <c r="F45" s="122"/>
      <c r="G45" s="122"/>
      <c r="H45" s="122"/>
      <c r="I45" s="122"/>
      <c r="J45" s="12" t="s">
        <v>413</v>
      </c>
    </row>
    <row r="46" spans="2:10">
      <c r="B46" s="12" t="s">
        <v>414</v>
      </c>
      <c r="C46" s="56">
        <f>IF(설정값!$D$20="",ROUND(원가구조_기준!$C$6/원가구조_기준!$C$42,0),MAX(0,ROUND(설정값!$D$20,0)))</f>
        <v>158197</v>
      </c>
      <c r="D46" s="102"/>
      <c r="E46" s="102"/>
      <c r="F46" s="122"/>
      <c r="G46" s="122"/>
      <c r="H46" s="122"/>
      <c r="I46" s="122"/>
      <c r="J46" s="12" t="s">
        <v>1029</v>
      </c>
    </row>
    <row r="47" spans="2:10">
      <c r="B47" s="12" t="s">
        <v>415</v>
      </c>
      <c r="C47" s="56">
        <f>운임_화물_선박!$G$18</f>
        <v>970</v>
      </c>
      <c r="D47" s="102"/>
      <c r="E47" s="102"/>
      <c r="F47" s="122"/>
      <c r="G47" s="122"/>
      <c r="H47" s="122"/>
      <c r="I47" s="122"/>
      <c r="J47" s="12" t="s">
        <v>416</v>
      </c>
    </row>
    <row r="48" spans="2:10">
      <c r="B48" s="12" t="s">
        <v>417</v>
      </c>
      <c r="C48" s="41">
        <f>원가구조_기준!$C$46/(원가구조_기준!$C$47*설정값!$D$11)</f>
        <v>0.32748933879849296</v>
      </c>
      <c r="D48" s="102"/>
      <c r="E48" s="102"/>
      <c r="F48" s="122"/>
      <c r="G48" s="122"/>
      <c r="H48" s="122"/>
      <c r="I48" s="122"/>
      <c r="J48" s="12" t="s">
        <v>418</v>
      </c>
    </row>
    <row r="49" spans="2:10">
      <c r="B49" s="12" t="s">
        <v>419</v>
      </c>
      <c r="C49" s="56">
        <f>원가구조_기준!$C$46/설정값!$D$11</f>
        <v>317.66465863453817</v>
      </c>
      <c r="D49" s="102"/>
      <c r="E49" s="102"/>
      <c r="F49" s="122"/>
      <c r="G49" s="122"/>
      <c r="H49" s="122"/>
      <c r="I49" s="122"/>
      <c r="J49" s="12"/>
    </row>
    <row r="50" spans="2:10">
      <c r="B50" s="12" t="s">
        <v>420</v>
      </c>
      <c r="C50" s="41">
        <f>설정값!$D$11/설정값!$D$91</f>
        <v>0.68219178082191778</v>
      </c>
      <c r="D50" s="102"/>
      <c r="E50" s="102"/>
      <c r="F50" s="122"/>
      <c r="G50" s="122"/>
      <c r="H50" s="122"/>
      <c r="I50" s="122"/>
      <c r="J50" s="12" t="s">
        <v>421</v>
      </c>
    </row>
    <row r="51" spans="2:10" ht="16.5">
      <c r="B51" s="25" t="s">
        <v>422</v>
      </c>
    </row>
    <row r="52" spans="2:10">
      <c r="B52" s="4" t="s">
        <v>117</v>
      </c>
      <c r="C52" s="4" t="s">
        <v>366</v>
      </c>
      <c r="D52" s="4" t="s">
        <v>423</v>
      </c>
      <c r="E52" s="4" t="s">
        <v>424</v>
      </c>
      <c r="F52" s="4" t="s">
        <v>425</v>
      </c>
      <c r="G52" s="4" t="s">
        <v>249</v>
      </c>
      <c r="H52" s="119"/>
      <c r="I52" s="119"/>
      <c r="J52" s="4" t="s">
        <v>426</v>
      </c>
    </row>
    <row r="53" spans="2:10">
      <c r="B53" s="12" t="s">
        <v>121</v>
      </c>
      <c r="C53" s="40">
        <f>IFERROR(원가구조_기준!$C$24*설정값!$D$23/(설정값!$D$23+설정값!$D$24+설정값!$D$25+설정값!$D$26+설정값!$D$27),0)</f>
        <v>5989842468.959096</v>
      </c>
      <c r="D53" s="61">
        <f>설정값!$D$23</f>
        <v>0.83779999999999999</v>
      </c>
      <c r="E53" s="61">
        <f>IFERROR(D53/SUM($D$53:$D$57),0)</f>
        <v>0.83788378837883781</v>
      </c>
      <c r="F53" s="40">
        <f>C53/설정값!$D$11</f>
        <v>12027796.122407824</v>
      </c>
      <c r="G53" s="12" t="s">
        <v>120</v>
      </c>
      <c r="H53" s="122"/>
      <c r="I53" s="122"/>
      <c r="J53" s="10" t="s">
        <v>122</v>
      </c>
    </row>
    <row r="54" spans="2:10">
      <c r="B54" s="12" t="s">
        <v>123</v>
      </c>
      <c r="C54" s="40">
        <f>IFERROR(원가구조_기준!$C$24*설정값!$D$24/(설정값!$D$23+설정값!$D$24+설정값!$D$25+설정값!$D$26+설정값!$D$27),0)</f>
        <v>772859836.35053504</v>
      </c>
      <c r="D54" s="61">
        <f>설정값!$D$24</f>
        <v>0.1081</v>
      </c>
      <c r="E54" s="61">
        <f>IFERROR(D54/SUM($D$53:$D$57),0)</f>
        <v>0.10811081108110811</v>
      </c>
      <c r="F54" s="40">
        <f>C54/설정값!$D$11</f>
        <v>1551927.3822299901</v>
      </c>
      <c r="G54" s="12" t="s">
        <v>120</v>
      </c>
      <c r="H54" s="122"/>
      <c r="I54" s="122"/>
      <c r="J54" s="12" t="s">
        <v>124</v>
      </c>
    </row>
    <row r="55" spans="2:10">
      <c r="B55" s="12" t="s">
        <v>126</v>
      </c>
      <c r="C55" s="40">
        <f>IFERROR(원가구조_기준!$C$24*설정값!$D$25/(설정값!$D$23+설정값!$D$24+설정값!$D$25+설정값!$D$26+설정값!$D$27),0)</f>
        <v>366768821.50585055</v>
      </c>
      <c r="D55" s="61">
        <f>설정값!$D$25</f>
        <v>5.1299999999999998E-2</v>
      </c>
      <c r="E55" s="61">
        <f>IFERROR(D55/SUM($D$53:$D$57),0)</f>
        <v>5.13051305130513E-2</v>
      </c>
      <c r="F55" s="40">
        <f>C55/설정값!$D$11</f>
        <v>736483.57732098503</v>
      </c>
      <c r="G55" s="12" t="s">
        <v>125</v>
      </c>
      <c r="H55" s="122"/>
      <c r="I55" s="122"/>
      <c r="J55" s="12" t="s">
        <v>127</v>
      </c>
    </row>
    <row r="56" spans="2:10">
      <c r="B56" s="12" t="s">
        <v>128</v>
      </c>
      <c r="C56" s="40">
        <f>IFERROR(원가구조_기준!$C$24*설정값!$D$26/(설정값!$D$23+설정값!$D$24+설정값!$D$25+설정값!$D$26+설정값!$D$27),0)</f>
        <v>0</v>
      </c>
      <c r="D56" s="61">
        <f>설정값!$D$26</f>
        <v>0</v>
      </c>
      <c r="E56" s="61">
        <f>IFERROR(D56/SUM($D$53:$D$57),0)</f>
        <v>0</v>
      </c>
      <c r="F56" s="40">
        <f>C56/설정값!$D$11</f>
        <v>0</v>
      </c>
      <c r="G56" s="12" t="s">
        <v>125</v>
      </c>
      <c r="H56" s="122"/>
      <c r="I56" s="122"/>
      <c r="J56" s="12" t="s">
        <v>129</v>
      </c>
    </row>
    <row r="57" spans="2:10">
      <c r="B57" s="12" t="s">
        <v>130</v>
      </c>
      <c r="C57" s="40">
        <f>IFERROR(원가구조_기준!$C$24*설정값!$D$27/(설정값!$D$23+설정값!$D$24+설정값!$D$25+설정값!$D$26+설정값!$D$27),0)</f>
        <v>19303622.184518453</v>
      </c>
      <c r="D57" s="61">
        <f>설정값!$D$27</f>
        <v>2.7000000000000001E-3</v>
      </c>
      <c r="E57" s="61">
        <f>IFERROR(D57/SUM($D$53:$D$57),0)</f>
        <v>2.7002700270027003E-3</v>
      </c>
      <c r="F57" s="40">
        <f>C57/설정값!$D$11</f>
        <v>38762.293543209744</v>
      </c>
      <c r="G57" s="12" t="s">
        <v>125</v>
      </c>
      <c r="H57" s="122"/>
      <c r="I57" s="122"/>
      <c r="J57" s="12" t="s">
        <v>131</v>
      </c>
    </row>
    <row r="58" spans="2:10">
      <c r="B58" s="5" t="s">
        <v>427</v>
      </c>
      <c r="C58" s="34">
        <f>SUM(C53:C57)</f>
        <v>7148774749.000001</v>
      </c>
      <c r="D58" s="62">
        <f>SUM(D53:D57)</f>
        <v>0.99990000000000001</v>
      </c>
      <c r="E58" s="62">
        <f>SUM(E53:E57)</f>
        <v>0.99999999999999989</v>
      </c>
      <c r="F58" s="34">
        <f>C58/설정값!$D$11</f>
        <v>14354969.375502011</v>
      </c>
      <c r="G58" s="102"/>
      <c r="H58" s="122"/>
      <c r="I58" s="122"/>
      <c r="J58" s="12" t="s">
        <v>428</v>
      </c>
    </row>
    <row r="59" spans="2:10" ht="16.5">
      <c r="B59" s="25" t="s">
        <v>429</v>
      </c>
    </row>
    <row r="60" spans="2:10">
      <c r="B60" s="4" t="s">
        <v>134</v>
      </c>
      <c r="C60" s="4" t="s">
        <v>366</v>
      </c>
      <c r="D60" s="4" t="s">
        <v>430</v>
      </c>
      <c r="E60" s="4" t="s">
        <v>136</v>
      </c>
      <c r="F60" s="4" t="s">
        <v>141</v>
      </c>
      <c r="G60" s="4" t="s">
        <v>147</v>
      </c>
      <c r="H60" s="4" t="s">
        <v>154</v>
      </c>
      <c r="I60" s="4" t="s">
        <v>74</v>
      </c>
      <c r="J60" s="4" t="s">
        <v>137</v>
      </c>
    </row>
    <row r="61" spans="2:10">
      <c r="B61" s="12" t="s">
        <v>139</v>
      </c>
      <c r="C61" s="40">
        <f>원가구조_기준!$C$20</f>
        <v>1669591000</v>
      </c>
      <c r="D61" s="38" t="str">
        <f>설정값!$D$30</f>
        <v>O</v>
      </c>
      <c r="E61" s="38" t="str">
        <f>설정값!$E$30</f>
        <v>고정</v>
      </c>
      <c r="F61" s="40">
        <f t="shared" ref="F61:F67" si="0">IF(AND($D61="O",$E61="고정"),$C61,0)</f>
        <v>1669591000</v>
      </c>
      <c r="G61" s="40">
        <f t="shared" ref="G61:G67" si="1">IF(AND($D61="O",$E61="준변동"),$C61,0)</f>
        <v>0</v>
      </c>
      <c r="H61" s="40">
        <f t="shared" ref="H61:H67" si="2">IF(AND($D61="O",$E61="변동"),$C61,0)</f>
        <v>0</v>
      </c>
      <c r="I61" s="63" t="s">
        <v>431</v>
      </c>
      <c r="J61" s="12" t="s">
        <v>142</v>
      </c>
    </row>
    <row r="62" spans="2:10">
      <c r="B62" s="12" t="s">
        <v>143</v>
      </c>
      <c r="C62" s="40">
        <f>원가구조_기준!$C$14</f>
        <v>3349232000</v>
      </c>
      <c r="D62" s="38" t="str">
        <f>설정값!$D$31</f>
        <v>O</v>
      </c>
      <c r="E62" s="38" t="str">
        <f>설정값!$E$31</f>
        <v>고정</v>
      </c>
      <c r="F62" s="40">
        <f t="shared" si="0"/>
        <v>3349232000</v>
      </c>
      <c r="G62" s="40">
        <f t="shared" si="1"/>
        <v>0</v>
      </c>
      <c r="H62" s="40">
        <f t="shared" si="2"/>
        <v>0</v>
      </c>
      <c r="I62" s="63" t="s">
        <v>431</v>
      </c>
      <c r="J62" s="10" t="s">
        <v>144</v>
      </c>
    </row>
    <row r="63" spans="2:10">
      <c r="B63" s="12" t="s">
        <v>145</v>
      </c>
      <c r="C63" s="40">
        <f>원가구조_기준!$C$22</f>
        <v>79211000</v>
      </c>
      <c r="D63" s="38" t="str">
        <f>설정값!$D$32</f>
        <v>O</v>
      </c>
      <c r="E63" s="38" t="str">
        <f>설정값!$E$32</f>
        <v>고정</v>
      </c>
      <c r="F63" s="40">
        <f t="shared" si="0"/>
        <v>79211000</v>
      </c>
      <c r="G63" s="40">
        <f t="shared" si="1"/>
        <v>0</v>
      </c>
      <c r="H63" s="40">
        <f t="shared" si="2"/>
        <v>0</v>
      </c>
      <c r="I63" s="63" t="s">
        <v>431</v>
      </c>
      <c r="J63" s="12"/>
    </row>
    <row r="64" spans="2:10">
      <c r="B64" s="12" t="s">
        <v>146</v>
      </c>
      <c r="C64" s="40">
        <f>원가구조_기준!$C$24</f>
        <v>7148774749</v>
      </c>
      <c r="D64" s="38" t="str">
        <f>설정값!$D$33</f>
        <v>O</v>
      </c>
      <c r="E64" s="38" t="str">
        <f>설정값!$E$33</f>
        <v>준변동</v>
      </c>
      <c r="F64" s="40">
        <f t="shared" si="0"/>
        <v>0</v>
      </c>
      <c r="G64" s="40">
        <f t="shared" si="1"/>
        <v>7148774749</v>
      </c>
      <c r="H64" s="40">
        <f t="shared" si="2"/>
        <v>0</v>
      </c>
      <c r="I64" s="63" t="s">
        <v>431</v>
      </c>
      <c r="J64" s="12" t="s">
        <v>148</v>
      </c>
    </row>
    <row r="65" spans="2:10">
      <c r="B65" s="12" t="s">
        <v>150</v>
      </c>
      <c r="C65" s="40">
        <f>원가구조_기준!$C$34</f>
        <v>2122852250.0000002</v>
      </c>
      <c r="D65" s="38" t="str">
        <f>설정값!$D$34</f>
        <v>O</v>
      </c>
      <c r="E65" s="38" t="str">
        <f>설정값!$E$34</f>
        <v>고정</v>
      </c>
      <c r="F65" s="40">
        <f t="shared" si="0"/>
        <v>2122852250.0000002</v>
      </c>
      <c r="G65" s="40">
        <f t="shared" si="1"/>
        <v>0</v>
      </c>
      <c r="H65" s="40">
        <f t="shared" si="2"/>
        <v>0</v>
      </c>
      <c r="I65" s="63" t="s">
        <v>1048</v>
      </c>
      <c r="J65" s="12" t="s">
        <v>151</v>
      </c>
    </row>
    <row r="66" spans="2:10">
      <c r="B66" s="12" t="s">
        <v>152</v>
      </c>
      <c r="C66" s="40">
        <f>원가구조_기준!$C$19</f>
        <v>315650061</v>
      </c>
      <c r="D66" s="38" t="str">
        <f>설정값!$D$35</f>
        <v>O</v>
      </c>
      <c r="E66" s="38" t="str">
        <f>설정값!$E$35</f>
        <v>고정</v>
      </c>
      <c r="F66" s="40">
        <f t="shared" si="0"/>
        <v>315650061</v>
      </c>
      <c r="G66" s="40">
        <f t="shared" si="1"/>
        <v>0</v>
      </c>
      <c r="H66" s="40">
        <f t="shared" si="2"/>
        <v>0</v>
      </c>
      <c r="I66" s="63" t="s">
        <v>432</v>
      </c>
      <c r="J66" s="12"/>
    </row>
    <row r="67" spans="2:10">
      <c r="B67" s="12" t="s">
        <v>153</v>
      </c>
      <c r="C67" s="40">
        <f>원가구조_기준!$C$18</f>
        <v>540820215</v>
      </c>
      <c r="D67" s="38" t="str">
        <f>설정값!$D$36</f>
        <v>O</v>
      </c>
      <c r="E67" s="38" t="str">
        <f>설정값!$E$36</f>
        <v>변동</v>
      </c>
      <c r="F67" s="40">
        <f t="shared" si="0"/>
        <v>0</v>
      </c>
      <c r="G67" s="40">
        <f t="shared" si="1"/>
        <v>0</v>
      </c>
      <c r="H67" s="40">
        <f t="shared" si="2"/>
        <v>540820215</v>
      </c>
      <c r="I67" s="63" t="s">
        <v>432</v>
      </c>
      <c r="J67" s="12" t="s">
        <v>155</v>
      </c>
    </row>
    <row r="68" spans="2:10">
      <c r="B68" s="113" t="s">
        <v>427</v>
      </c>
      <c r="C68" s="114">
        <f>SUM(C61:C67)</f>
        <v>15226131275</v>
      </c>
      <c r="F68" s="114">
        <f>SUM(F61:F67)</f>
        <v>7536536311</v>
      </c>
      <c r="G68" s="114">
        <f>SUM(G61:G67)</f>
        <v>7148774749</v>
      </c>
      <c r="H68" s="114">
        <f>SUM(H61:H67)</f>
        <v>540820215</v>
      </c>
    </row>
    <row r="69" spans="2:10">
      <c r="B69" s="12" t="s">
        <v>433</v>
      </c>
      <c r="F69" s="40">
        <f>SUMIF($I$61:$I$67,"op",F61:F67)</f>
        <v>5098034000</v>
      </c>
      <c r="G69" s="40">
        <f>SUMIF($I$61:$I$67,"op",G61:G67)</f>
        <v>7148774749</v>
      </c>
      <c r="H69" s="40">
        <f>SUMIF($I$61:$I$67,"op",H61:H67)</f>
        <v>0</v>
      </c>
    </row>
    <row r="70" spans="2:10">
      <c r="B70" s="12" t="s">
        <v>434</v>
      </c>
      <c r="F70" s="40">
        <f>SUMIF($I$61:$I$67,"sga",F61:F67)</f>
        <v>2438502311</v>
      </c>
      <c r="G70" s="40">
        <f>SUMIF($I$61:$I$67,"sga",G61:G67)</f>
        <v>0</v>
      </c>
      <c r="H70" s="40">
        <f>SUMIF($I$61:$I$67,"sga",H61:H67)</f>
        <v>540820215</v>
      </c>
    </row>
    <row r="72" spans="2:10">
      <c r="B72" s="12" t="s">
        <v>435</v>
      </c>
      <c r="C72" s="40">
        <f>원가구조_기준!$G$68/설정값!$D$11</f>
        <v>14354969.375502009</v>
      </c>
      <c r="J72" s="3" t="s">
        <v>436</v>
      </c>
    </row>
    <row r="73" spans="2:10">
      <c r="B73" s="12" t="s">
        <v>437</v>
      </c>
      <c r="C73" s="40">
        <f>IF(원가구조_기준!$C$45&gt;0,원가구조_기준!$H$68/원가구조_기준!$C$45,0)</f>
        <v>3754.181522632367</v>
      </c>
      <c r="J73" s="3" t="s">
        <v>438</v>
      </c>
    </row>
    <row r="74" spans="2:10">
      <c r="B74" s="51" t="s">
        <v>439</v>
      </c>
      <c r="C74" s="52">
        <f>원가구조_기준!$C$73+설정값!$D$17</f>
        <v>3754.181522632367</v>
      </c>
      <c r="J74" s="3" t="s">
        <v>440</v>
      </c>
    </row>
    <row r="75" spans="2:10">
      <c r="B75" s="12" t="s">
        <v>441</v>
      </c>
      <c r="C75" s="41">
        <f>1-원가구조_기준!$C$74/원가구조_기준!$C$44</f>
        <v>0.95779447416939445</v>
      </c>
      <c r="J75" s="22" t="s">
        <v>442</v>
      </c>
    </row>
    <row r="76" spans="2:10">
      <c r="B76" s="10" t="s">
        <v>443</v>
      </c>
      <c r="C76" s="12" t="str">
        <f>IF(설정값!$D$31="X","EBITDA 기준 (감가상각 제외)","회계 기준")</f>
        <v>회계 기준</v>
      </c>
      <c r="J76" s="3"/>
    </row>
    <row r="77" spans="2:10" ht="16.5">
      <c r="B77" s="25" t="s">
        <v>1030</v>
      </c>
    </row>
    <row r="78" spans="2:10">
      <c r="B78" s="4" t="s">
        <v>134</v>
      </c>
      <c r="C78" s="4" t="s">
        <v>366</v>
      </c>
      <c r="D78" s="4" t="s">
        <v>444</v>
      </c>
      <c r="E78" s="4" t="s">
        <v>136</v>
      </c>
      <c r="F78" s="4" t="s">
        <v>445</v>
      </c>
      <c r="G78" s="119"/>
      <c r="H78" s="119"/>
      <c r="I78" s="119"/>
      <c r="J78" s="119"/>
    </row>
    <row r="79" spans="2:10">
      <c r="B79" s="12" t="s">
        <v>446</v>
      </c>
      <c r="C79" s="56">
        <f>IF(AND(설정값!$D$18="O",원가구조_기준!$C$47&gt;0),MAX(설정값!$D$11,CEILING(원가구조_기준!$C$46/원가구조_기준!$C$47,1)),설정값!$D$11)</f>
        <v>498</v>
      </c>
      <c r="D79" s="102"/>
      <c r="E79" s="102"/>
      <c r="F79" s="102"/>
      <c r="G79" s="117"/>
      <c r="H79" s="117"/>
      <c r="I79" s="117"/>
      <c r="J79" s="118"/>
    </row>
    <row r="80" spans="2:10">
      <c r="B80" s="12" t="s">
        <v>139</v>
      </c>
      <c r="C80" s="40">
        <f>IF(D61&lt;&gt;"O",0,IF(E61="준변동",C61/설정값!$D$11*원가구조_기준!$C$79,IF(E61="변동",C61/원가구조_기준!$C$45*원가구조_기준!$C$46,C61)))</f>
        <v>1669591000</v>
      </c>
      <c r="D80" s="41">
        <f t="shared" ref="D80:D87" si="3">IFERROR(C80/$C$88,0)</f>
        <v>0.10927206683983025</v>
      </c>
      <c r="E80" s="38" t="str">
        <f t="shared" ref="E80:E86" si="4">E61</f>
        <v>고정</v>
      </c>
      <c r="F80" s="12" t="str">
        <f>IF(E61="준변동",TEXT(C61/설정값!$D$11,"#,##0")&amp;"원/항차 × "&amp;TEXT(원가구조_기준!$C$79,"#,##0")&amp;"항차",IF(E61="변동",TEXT(C61/원가구조_기준!$C$45,"#,##0")&amp;"원/인 × "&amp;TEXT(원가구조_기준!$C$46,"#,##0")&amp;"명","승객·항차와 무관"))</f>
        <v>승객·항차와 무관</v>
      </c>
      <c r="G80" s="117"/>
      <c r="H80" s="117"/>
      <c r="I80" s="117"/>
      <c r="J80" s="117"/>
    </row>
    <row r="81" spans="2:10">
      <c r="B81" s="12" t="s">
        <v>143</v>
      </c>
      <c r="C81" s="40">
        <f>IF(D62&lt;&gt;"O",0,IF(E62="준변동",C62/설정값!$D$11*원가구조_기준!$C$79,IF(E62="변동",C62/원가구조_기준!$C$45*원가구조_기준!$C$46,C62)))</f>
        <v>3349232000</v>
      </c>
      <c r="D81" s="41">
        <f t="shared" si="3"/>
        <v>0.21920189014321373</v>
      </c>
      <c r="E81" s="38" t="str">
        <f t="shared" si="4"/>
        <v>고정</v>
      </c>
      <c r="F81" s="12" t="str">
        <f>IF(E62="준변동",TEXT(C62/설정값!$D$11,"#,##0")&amp;"원/항차 × "&amp;TEXT(원가구조_기준!$C$79,"#,##0")&amp;"항차",IF(E62="변동",TEXT(C62/원가구조_기준!$C$45,"#,##0")&amp;"원/인 × "&amp;TEXT(원가구조_기준!$C$46,"#,##0")&amp;"명","승객·항차와 무관"))</f>
        <v>승객·항차와 무관</v>
      </c>
      <c r="G81" s="117"/>
      <c r="H81" s="117"/>
      <c r="I81" s="117"/>
      <c r="J81" s="117"/>
    </row>
    <row r="82" spans="2:10">
      <c r="B82" s="12" t="s">
        <v>145</v>
      </c>
      <c r="C82" s="40">
        <f>IF(D63&lt;&gt;"O",0,IF(E63="준변동",C63/설정값!$D$11*원가구조_기준!$C$79,IF(E63="변동",C63/원가구조_기준!$C$45*원가구조_기준!$C$46,C63)))</f>
        <v>79211000</v>
      </c>
      <c r="D82" s="41">
        <f t="shared" si="3"/>
        <v>5.1842335556730925E-3</v>
      </c>
      <c r="E82" s="38" t="str">
        <f t="shared" si="4"/>
        <v>고정</v>
      </c>
      <c r="F82" s="12" t="str">
        <f>IF(E63="준변동",TEXT(C63/설정값!$D$11,"#,##0")&amp;"원/항차 × "&amp;TEXT(원가구조_기준!$C$79,"#,##0")&amp;"항차",IF(E63="변동",TEXT(C63/원가구조_기준!$C$45,"#,##0")&amp;"원/인 × "&amp;TEXT(원가구조_기준!$C$46,"#,##0")&amp;"명","승객·항차와 무관"))</f>
        <v>승객·항차와 무관</v>
      </c>
      <c r="G82" s="117"/>
      <c r="H82" s="117"/>
      <c r="I82" s="117"/>
      <c r="J82" s="117"/>
    </row>
    <row r="83" spans="2:10">
      <c r="B83" s="12" t="s">
        <v>146</v>
      </c>
      <c r="C83" s="40">
        <f>IF(D64&lt;&gt;"O",0,IF(E64="준변동",C64/설정값!$D$11*원가구조_기준!$C$79,IF(E64="변동",C64/원가구조_기준!$C$45*원가구조_기준!$C$46,C64)))</f>
        <v>7148774749</v>
      </c>
      <c r="D83" s="41">
        <f t="shared" si="3"/>
        <v>0.46787590026277015</v>
      </c>
      <c r="E83" s="38" t="str">
        <f t="shared" si="4"/>
        <v>준변동</v>
      </c>
      <c r="F83" s="12" t="str">
        <f>IF(E64="준변동",TEXT(C64/설정값!$D$11,"#,##0")&amp;"원/항차 × "&amp;TEXT(원가구조_기준!$C$79,"#,##0")&amp;"항차",IF(E64="변동",TEXT(C64/원가구조_기준!$C$45,"#,##0")&amp;"원/인 × "&amp;TEXT(원가구조_기준!$C$46,"#,##0")&amp;"명","승객·항차와 무관"))</f>
        <v>14,354,969원/항차 × 498항차</v>
      </c>
      <c r="G83" s="117"/>
      <c r="H83" s="117"/>
      <c r="I83" s="117"/>
      <c r="J83" s="117"/>
    </row>
    <row r="84" spans="2:10">
      <c r="B84" s="12" t="s">
        <v>150</v>
      </c>
      <c r="C84" s="40">
        <f>IF(D65&lt;&gt;"O",0,IF(E65="준변동",C65/설정값!$D$11*원가구조_기준!$C$79,IF(E65="변동",C65/원가구조_기준!$C$45*원가구조_기준!$C$46,C65)))</f>
        <v>2122852250.0000002</v>
      </c>
      <c r="D84" s="41">
        <f t="shared" si="3"/>
        <v>0.13893729239860783</v>
      </c>
      <c r="E84" s="38" t="str">
        <f t="shared" si="4"/>
        <v>고정</v>
      </c>
      <c r="F84" s="12" t="str">
        <f>IF(E65="준변동",TEXT(C65/설정값!$D$11,"#,##0")&amp;"원/항차 × "&amp;TEXT(원가구조_기준!$C$79,"#,##0")&amp;"항차",IF(E65="변동",TEXT(C65/원가구조_기준!$C$45,"#,##0")&amp;"원/인 × "&amp;TEXT(원가구조_기준!$C$46,"#,##0")&amp;"명","승객·항차와 무관"))</f>
        <v>승객·항차와 무관</v>
      </c>
      <c r="G84" s="117"/>
      <c r="H84" s="117"/>
      <c r="I84" s="117"/>
      <c r="J84" s="117"/>
    </row>
    <row r="85" spans="2:10">
      <c r="B85" s="12" t="s">
        <v>152</v>
      </c>
      <c r="C85" s="40">
        <f>IF(D66&lt;&gt;"O",0,IF(E66="준변동",C66/설정값!$D$11*원가구조_기준!$C$79,IF(E66="변동",C66/원가구조_기준!$C$45*원가구조_기준!$C$46,C66)))</f>
        <v>315650061</v>
      </c>
      <c r="D85" s="41">
        <f t="shared" si="3"/>
        <v>2.0658792820270649E-2</v>
      </c>
      <c r="E85" s="38" t="str">
        <f t="shared" si="4"/>
        <v>고정</v>
      </c>
      <c r="F85" s="12" t="str">
        <f>IF(E66="준변동",TEXT(C66/설정값!$D$11,"#,##0")&amp;"원/항차 × "&amp;TEXT(원가구조_기준!$C$79,"#,##0")&amp;"항차",IF(E66="변동",TEXT(C66/원가구조_기준!$C$45,"#,##0")&amp;"원/인 × "&amp;TEXT(원가구조_기준!$C$46,"#,##0")&amp;"명","승객·항차와 무관"))</f>
        <v>승객·항차와 무관</v>
      </c>
      <c r="G85" s="117"/>
      <c r="H85" s="117"/>
      <c r="I85" s="117"/>
      <c r="J85" s="117"/>
    </row>
    <row r="86" spans="2:10">
      <c r="B86" s="12" t="s">
        <v>153</v>
      </c>
      <c r="C86" s="40">
        <f>IF(D67&lt;&gt;"O",0,IF(E67="준변동",C67/설정값!$D$11*원가구조_기준!$C$79,IF(E67="변동",C67/원가구조_기준!$C$45*원가구조_기준!$C$46,C67)))</f>
        <v>593900254.33587253</v>
      </c>
      <c r="D86" s="41">
        <f t="shared" si="3"/>
        <v>3.8869823979634323E-2</v>
      </c>
      <c r="E86" s="38" t="str">
        <f t="shared" si="4"/>
        <v>변동</v>
      </c>
      <c r="F86" s="12" t="str">
        <f>IF(E67="준변동",TEXT(C67/설정값!$D$11,"#,##0")&amp;"원/항차 × "&amp;TEXT(원가구조_기준!$C$79,"#,##0")&amp;"항차",IF(E67="변동",TEXT(C67/원가구조_기준!$C$45,"#,##0")&amp;"원/인 × "&amp;TEXT(원가구조_기준!$C$46,"#,##0")&amp;"명","승객·항차와 무관"))</f>
        <v>3,754원/인 × 158,197명</v>
      </c>
      <c r="G86" s="117"/>
      <c r="H86" s="117"/>
      <c r="I86" s="117"/>
      <c r="J86" s="117"/>
    </row>
    <row r="87" spans="2:10">
      <c r="B87" s="12" t="s">
        <v>105</v>
      </c>
      <c r="C87" s="40">
        <f>설정값!$D$17*원가구조_기준!$C$46</f>
        <v>0</v>
      </c>
      <c r="D87" s="41">
        <f t="shared" si="3"/>
        <v>0</v>
      </c>
      <c r="E87" s="102"/>
      <c r="F87" s="102"/>
      <c r="G87" s="117"/>
      <c r="H87" s="117"/>
      <c r="I87" s="117"/>
      <c r="J87" s="117"/>
    </row>
    <row r="88" spans="2:10">
      <c r="B88" s="113" t="s">
        <v>447</v>
      </c>
      <c r="C88" s="114">
        <f>SUM(C80:C87)</f>
        <v>15279211314.335873</v>
      </c>
      <c r="D88" s="115">
        <f>SUM(D80:D87)</f>
        <v>1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J119"/>
  <sheetViews>
    <sheetView zoomScale="85" zoomScaleNormal="85" workbookViewId="0">
      <pane xSplit="2" ySplit="3" topLeftCell="C85" activePane="bottomRight" state="frozen"/>
      <selection pane="topRight" activeCell="C1" sqref="C1"/>
      <selection pane="bottomLeft" activeCell="A4" sqref="A4"/>
      <selection pane="bottomRight" activeCell="J121" sqref="J121"/>
    </sheetView>
  </sheetViews>
  <sheetFormatPr defaultColWidth="8.7109375" defaultRowHeight="15"/>
  <cols>
    <col min="1" max="1" width="2" customWidth="1"/>
    <col min="2" max="2" width="38" customWidth="1"/>
    <col min="3" max="3" width="18" customWidth="1"/>
    <col min="4" max="5" width="11" customWidth="1"/>
    <col min="6" max="9" width="16" customWidth="1"/>
    <col min="10" max="10" width="70" customWidth="1"/>
  </cols>
  <sheetData>
    <row r="1" spans="2:10" ht="26.25">
      <c r="B1" s="2" t="s">
        <v>448</v>
      </c>
    </row>
    <row r="2" spans="2:10">
      <c r="B2" s="3" t="s">
        <v>449</v>
      </c>
    </row>
    <row r="4" spans="2:10" ht="16.5">
      <c r="B4" s="25" t="s">
        <v>450</v>
      </c>
    </row>
    <row r="5" spans="2:10">
      <c r="B5" s="4" t="s">
        <v>75</v>
      </c>
      <c r="C5" s="4" t="s">
        <v>76</v>
      </c>
      <c r="D5" s="119"/>
      <c r="E5" s="119"/>
      <c r="F5" s="119"/>
      <c r="G5" s="119"/>
      <c r="H5" s="119"/>
      <c r="I5" s="119"/>
      <c r="J5" s="4" t="s">
        <v>451</v>
      </c>
    </row>
    <row r="6" spans="2:10">
      <c r="B6" s="12" t="s">
        <v>158</v>
      </c>
      <c r="C6" s="12" t="str">
        <f>설정값!$D$39</f>
        <v>산타모니카호</v>
      </c>
      <c r="J6" s="12"/>
    </row>
    <row r="7" spans="2:10">
      <c r="B7" s="12" t="s">
        <v>452</v>
      </c>
      <c r="C7" s="56">
        <f>IFERROR(INDEX(운임_화물_선박!$G$18:$G$21,MATCH(대조선박_손익!$C$6,운임_화물_선박!$B$18:$B$21,0)),0)</f>
        <v>606</v>
      </c>
      <c r="J7" s="12" t="s">
        <v>453</v>
      </c>
    </row>
    <row r="8" spans="2:10">
      <c r="B8" s="12" t="s">
        <v>454</v>
      </c>
      <c r="C8" s="12" t="str">
        <f>IFERROR(IF(LEFT(INDEX(운임_화물_선박!$K$18:$K$21,MATCH(대조선박_손익!$C$6,운임_화물_선박!$B$18:$B$21,0)),2)="보류","보류중 — 원가 자료 미확보, 결과를 확정으로 읽지 말 것","분석 가능"),"")</f>
        <v>분석 가능</v>
      </c>
      <c r="J8" s="12"/>
    </row>
    <row r="9" spans="2:10">
      <c r="B9" s="12" t="s">
        <v>455</v>
      </c>
      <c r="C9" s="12" t="str">
        <f>IF(대조선박_손익!$C$6="산타모니카호","O","X")</f>
        <v>O</v>
      </c>
      <c r="J9" s="12" t="s">
        <v>456</v>
      </c>
    </row>
    <row r="10" spans="2:10">
      <c r="B10" s="12" t="s">
        <v>457</v>
      </c>
      <c r="C10" s="56">
        <f>MAX(1,설정값!$D$41+설정값!$D$42)</f>
        <v>20</v>
      </c>
      <c r="J10" s="12"/>
    </row>
    <row r="11" spans="2:10">
      <c r="B11" s="12" t="s">
        <v>458</v>
      </c>
      <c r="C11" s="58">
        <f>대조선박_손익!$C$10/원가구조_기준!$C$31</f>
        <v>1</v>
      </c>
      <c r="J11" s="12" t="s">
        <v>459</v>
      </c>
    </row>
    <row r="12" spans="2:10">
      <c r="B12" s="12" t="s">
        <v>460</v>
      </c>
      <c r="C12" s="58">
        <f>설정값!$D$40/설정값!$D$90</f>
        <v>1</v>
      </c>
      <c r="J12" s="12" t="s">
        <v>461</v>
      </c>
    </row>
    <row r="13" spans="2:10">
      <c r="B13" s="12" t="s">
        <v>462</v>
      </c>
      <c r="C13" s="58">
        <f>설정값!$D$43/설정값!$D$11</f>
        <v>1.2048192771084338</v>
      </c>
      <c r="J13" s="12" t="s">
        <v>463</v>
      </c>
    </row>
    <row r="14" spans="2:10">
      <c r="B14" s="12" t="s">
        <v>464</v>
      </c>
      <c r="C14" s="40">
        <f>설정값!$D$45*설정값!$D$47</f>
        <v>1115200</v>
      </c>
      <c r="J14" s="12"/>
    </row>
    <row r="15" spans="2:10">
      <c r="B15" s="12" t="s">
        <v>465</v>
      </c>
      <c r="C15" s="40">
        <f>설정값!$D$46*설정값!$D$48</f>
        <v>2005897.6</v>
      </c>
      <c r="J15" s="12"/>
    </row>
    <row r="16" spans="2:10">
      <c r="B16" s="51" t="s">
        <v>466</v>
      </c>
      <c r="C16" s="65">
        <f>IF(설정값!$D$49="O",대조선박_손익!$C$15/대조선박_손익!$C$14,1)</f>
        <v>1.7986886657101866</v>
      </c>
      <c r="J16" s="10" t="s">
        <v>467</v>
      </c>
    </row>
    <row r="17" spans="2:10">
      <c r="B17" s="12" t="s">
        <v>468</v>
      </c>
      <c r="C17" s="40">
        <f>설정값!$D$61*운임_화물_선박!$C$12</f>
        <v>90000</v>
      </c>
      <c r="D17" s="66">
        <f>운임_화물_선박!$C$12</f>
        <v>1</v>
      </c>
      <c r="E17" s="41">
        <f>MAX(0,설정값!$D$63)</f>
        <v>1</v>
      </c>
      <c r="J17" s="102"/>
    </row>
    <row r="18" spans="2:10">
      <c r="B18" s="12" t="s">
        <v>469</v>
      </c>
      <c r="C18" s="40">
        <f>설정값!$D$61*운임_화물_선박!$E$12</f>
        <v>135000</v>
      </c>
      <c r="D18" s="66">
        <f>운임_화물_선박!$E$12</f>
        <v>1.5</v>
      </c>
      <c r="E18" s="41">
        <f>MAX(0,설정값!$D$64)</f>
        <v>0</v>
      </c>
      <c r="J18" s="102"/>
    </row>
    <row r="19" spans="2:10">
      <c r="B19" s="12" t="s">
        <v>470</v>
      </c>
      <c r="C19" s="40">
        <f>설정값!$D$61*운임_화물_선박!$G$12</f>
        <v>190555.55555555556</v>
      </c>
      <c r="D19" s="66">
        <f>운임_화물_선박!$G$12</f>
        <v>2.117283950617284</v>
      </c>
      <c r="E19" s="41">
        <f>MAX(0,설정값!$D$65)</f>
        <v>0</v>
      </c>
      <c r="J19" s="102"/>
    </row>
    <row r="20" spans="2:10">
      <c r="B20" s="12" t="s">
        <v>405</v>
      </c>
      <c r="C20" s="41">
        <f>SUM(E17:E19)</f>
        <v>1</v>
      </c>
      <c r="J20" s="12"/>
    </row>
    <row r="21" spans="2:10">
      <c r="B21" s="12" t="s">
        <v>406</v>
      </c>
      <c r="C21" s="58">
        <f>SUMPRODUCT(D17:D19,E17:E19)</f>
        <v>1</v>
      </c>
      <c r="J21" s="12"/>
    </row>
    <row r="22" spans="2:10">
      <c r="B22" s="12" t="s">
        <v>407</v>
      </c>
      <c r="C22" s="40">
        <f>IF(대조선박_손익!$C$21&gt;0,설정값!$D$61*대조선박_손익!$C$21/대조선박_손익!$C$20,설정값!$D$61)</f>
        <v>90000</v>
      </c>
      <c r="J22" s="12"/>
    </row>
    <row r="23" spans="2:10">
      <c r="B23" s="59" t="s">
        <v>471</v>
      </c>
      <c r="C23" s="47">
        <f>대조선박_손익!$C$22+설정값!$D$62</f>
        <v>120000</v>
      </c>
      <c r="J23" s="12"/>
    </row>
    <row r="24" spans="2:10">
      <c r="B24" s="12" t="s">
        <v>472</v>
      </c>
      <c r="C24" s="67">
        <f>IF(OR(설정값!$D$59="O",대조선박_손익!$C$7=0),IF(설정값!$D$43&gt;0,N(설정값!$D$60)/설정값!$D$43,0),ROUND(대조선박_손익!$C$7*설정값!$D$58,2))</f>
        <v>303</v>
      </c>
      <c r="J24" s="12"/>
    </row>
    <row r="25" spans="2:10">
      <c r="B25" s="59" t="s">
        <v>473</v>
      </c>
      <c r="C25" s="68">
        <f>IF(OR(설정값!$D$59="O",대조선박_손익!$C$7=0),ROUND(N(설정값!$D$60),0),ROUND(대조선박_손익!$C$24*설정값!$D$43,0))</f>
        <v>181800</v>
      </c>
      <c r="J25" s="12" t="s">
        <v>474</v>
      </c>
    </row>
    <row r="26" spans="2:10">
      <c r="B26" s="12" t="s">
        <v>475</v>
      </c>
      <c r="C26" s="41">
        <f>IF(대조선박_손익!$C$7&gt;0,대조선박_손익!$C$25/(대조선박_손익!$C$7*설정값!$D$43),0)</f>
        <v>0.5</v>
      </c>
      <c r="J26" s="12"/>
    </row>
    <row r="27" spans="2:10">
      <c r="B27" s="12" t="s">
        <v>420</v>
      </c>
      <c r="C27" s="41">
        <f>설정값!$D$43/설정값!$D$91</f>
        <v>0.82191780821917804</v>
      </c>
      <c r="J27" s="12"/>
    </row>
    <row r="28" spans="2:10">
      <c r="B28" s="12" t="s">
        <v>476</v>
      </c>
      <c r="C28" s="40">
        <f>IFERROR(INDEX(운임_화물_선박!$L$55:$L$59,MATCH(설정값!$D$67,운임_화물_선박!$B$55:$B$59,0)),0)</f>
        <v>6579320</v>
      </c>
      <c r="J28" s="12" t="s">
        <v>477</v>
      </c>
    </row>
    <row r="29" spans="2:10">
      <c r="B29" s="12" t="s">
        <v>478</v>
      </c>
      <c r="C29" s="40">
        <f>대조선박_손익!$C$28*설정값!$D$66</f>
        <v>1973796</v>
      </c>
      <c r="J29" s="12"/>
    </row>
    <row r="30" spans="2:10">
      <c r="B30" s="51" t="s">
        <v>479</v>
      </c>
      <c r="C30" s="52">
        <f>대조선박_손익!$C$28*설정값!$D$66*설정값!$D$43</f>
        <v>1184277600</v>
      </c>
      <c r="J30" s="12" t="s">
        <v>480</v>
      </c>
    </row>
    <row r="31" spans="2:10">
      <c r="B31" s="12" t="s">
        <v>215</v>
      </c>
      <c r="C31" s="40">
        <f>IF(대조선박_손익!$C$9="O",0,원가구조_기준!$C$10)</f>
        <v>0</v>
      </c>
      <c r="J31" s="12"/>
    </row>
    <row r="32" spans="2:10">
      <c r="B32" s="12" t="s">
        <v>371</v>
      </c>
      <c r="C32" s="40">
        <f>대조선박_손익!$C$30+대조선박_손익!$C$31</f>
        <v>1184277600</v>
      </c>
      <c r="J32" s="12"/>
    </row>
    <row r="33" spans="2:10">
      <c r="B33" s="51" t="s">
        <v>221</v>
      </c>
      <c r="C33" s="52">
        <f>IF(N(설정값!$D$50)&gt;0,N(설정값!$D$50)*1000000*(1-설정값!$D$52)/MAX(1,설정값!$D$51),원가구조_기준!$C$14)</f>
        <v>2250000000</v>
      </c>
      <c r="J33" s="12" t="s">
        <v>481</v>
      </c>
    </row>
    <row r="34" spans="2:10">
      <c r="B34" s="12" t="s">
        <v>482</v>
      </c>
      <c r="C34" s="40">
        <f>원가구조_기준!$C$20*대조선박_손익!$C$11</f>
        <v>1669591000</v>
      </c>
      <c r="J34" s="12"/>
    </row>
    <row r="35" spans="2:10">
      <c r="B35" s="12" t="s">
        <v>150</v>
      </c>
      <c r="C35" s="40">
        <f>설정값!$D$40*원가구조_기준!$C$27</f>
        <v>2122852250.0000002</v>
      </c>
      <c r="J35" s="12"/>
    </row>
    <row r="36" spans="2:10">
      <c r="B36" s="12" t="s">
        <v>483</v>
      </c>
      <c r="C36" s="58">
        <f>IF(설정값!$E$36="변동",IF(원가구조_기준!$C$45&gt;0,대조선박_손익!$C$25/원가구조_기준!$C$45,1),IF(설정값!$E$36="준변동",설정값!$D$43/설정값!$D$11,1))</f>
        <v>1.2619909202442892</v>
      </c>
      <c r="J36" s="12" t="s">
        <v>484</v>
      </c>
    </row>
    <row r="37" spans="2:10" ht="16.5">
      <c r="B37" s="25" t="s">
        <v>1031</v>
      </c>
      <c r="J37" s="102"/>
    </row>
    <row r="38" spans="2:10" ht="27">
      <c r="B38" s="4" t="s">
        <v>117</v>
      </c>
      <c r="C38" s="4" t="s">
        <v>485</v>
      </c>
      <c r="D38" s="4" t="s">
        <v>486</v>
      </c>
      <c r="E38" s="4" t="s">
        <v>487</v>
      </c>
      <c r="F38" s="4" t="s">
        <v>488</v>
      </c>
      <c r="G38" s="4" t="s">
        <v>489</v>
      </c>
      <c r="H38" s="119"/>
      <c r="I38" s="119"/>
      <c r="J38" s="119"/>
    </row>
    <row r="39" spans="2:10">
      <c r="B39" s="12" t="s">
        <v>121</v>
      </c>
      <c r="C39" s="40">
        <f>원가구조_기준!$C$53</f>
        <v>5989842468.959096</v>
      </c>
      <c r="D39" s="61">
        <f>IFERROR(C39/원가구조_기준!$C$24,0)</f>
        <v>0.83788378837883792</v>
      </c>
      <c r="E39" s="58">
        <f>대조선박_손익!$C$13</f>
        <v>1.2048192771084338</v>
      </c>
      <c r="F39" s="58">
        <f>대조선박_손익!$C$16</f>
        <v>1.7986886657101866</v>
      </c>
      <c r="G39" s="40">
        <f>C39*E39*F39</f>
        <v>12980556335.308731</v>
      </c>
    </row>
    <row r="40" spans="2:10">
      <c r="B40" s="12" t="s">
        <v>123</v>
      </c>
      <c r="C40" s="40">
        <f>원가구조_기준!$C$54</f>
        <v>772859836.35053504</v>
      </c>
      <c r="D40" s="61">
        <f>IFERROR(C40/원가구조_기준!$C$24,0)</f>
        <v>0.10811081108110811</v>
      </c>
      <c r="E40" s="58">
        <f>대조선박_손익!$C$13</f>
        <v>1.2048192771084338</v>
      </c>
      <c r="F40" s="58">
        <v>1</v>
      </c>
      <c r="G40" s="40">
        <f>C40*E40*F40</f>
        <v>931156429.3379941</v>
      </c>
    </row>
    <row r="41" spans="2:10">
      <c r="B41" s="12" t="s">
        <v>126</v>
      </c>
      <c r="C41" s="40">
        <f>원가구조_기준!$C$55</f>
        <v>366768821.50585055</v>
      </c>
      <c r="D41" s="61">
        <f>IFERROR(C41/원가구조_기준!$C$24,0)</f>
        <v>5.13051305130513E-2</v>
      </c>
      <c r="E41" s="58">
        <f>대조선박_손익!$C$13</f>
        <v>1.2048192771084338</v>
      </c>
      <c r="F41" s="58">
        <v>1</v>
      </c>
      <c r="G41" s="40">
        <f>C41*E41*F41</f>
        <v>441890146.39259106</v>
      </c>
    </row>
    <row r="42" spans="2:10">
      <c r="B42" s="12" t="s">
        <v>128</v>
      </c>
      <c r="C42" s="40">
        <f>원가구조_기준!$C$56</f>
        <v>0</v>
      </c>
      <c r="D42" s="61">
        <f>IFERROR(C42/원가구조_기준!$C$24,0)</f>
        <v>0</v>
      </c>
      <c r="E42" s="58">
        <f>대조선박_손익!$C$13</f>
        <v>1.2048192771084338</v>
      </c>
      <c r="F42" s="58">
        <v>1</v>
      </c>
      <c r="G42" s="40">
        <f>C42*E42*F42</f>
        <v>0</v>
      </c>
    </row>
    <row r="43" spans="2:10">
      <c r="B43" s="12" t="s">
        <v>130</v>
      </c>
      <c r="C43" s="40">
        <f>원가구조_기준!$C$57</f>
        <v>19303622.184518453</v>
      </c>
      <c r="D43" s="61">
        <f>IFERROR(C43/원가구조_기준!$C$24,0)</f>
        <v>2.7002700270027003E-3</v>
      </c>
      <c r="E43" s="58">
        <f>대조선박_손익!$C$13</f>
        <v>1.2048192771084338</v>
      </c>
      <c r="F43" s="58">
        <v>1</v>
      </c>
      <c r="G43" s="40">
        <f>C43*E43*F43</f>
        <v>23257376.12592585</v>
      </c>
    </row>
    <row r="44" spans="2:10">
      <c r="B44" s="5" t="s">
        <v>490</v>
      </c>
      <c r="C44" s="34">
        <f>SUM(C39:C43)</f>
        <v>7148774749.000001</v>
      </c>
      <c r="G44" s="34">
        <f>SUM(G39:G43)</f>
        <v>14376860287.165241</v>
      </c>
    </row>
    <row r="45" spans="2:10">
      <c r="B45" s="12" t="s">
        <v>491</v>
      </c>
      <c r="G45" s="40">
        <f>대조선박_손익!$G$44-C44*대조선박_손익!$C$13</f>
        <v>5763878661.8640347</v>
      </c>
    </row>
    <row r="46" spans="2:10" ht="16.5">
      <c r="B46" s="25" t="s">
        <v>492</v>
      </c>
    </row>
    <row r="47" spans="2:10">
      <c r="B47" s="4" t="s">
        <v>250</v>
      </c>
      <c r="C47" s="4" t="s">
        <v>366</v>
      </c>
      <c r="D47" s="4" t="s">
        <v>252</v>
      </c>
      <c r="E47" s="4" t="s">
        <v>253</v>
      </c>
      <c r="F47" s="119"/>
      <c r="G47" s="119"/>
      <c r="H47" s="119"/>
      <c r="I47" s="119"/>
      <c r="J47" s="4" t="s">
        <v>493</v>
      </c>
    </row>
    <row r="48" spans="2:10">
      <c r="B48" s="8" t="s">
        <v>494</v>
      </c>
      <c r="C48" s="34">
        <f>SUM(C49:C51)</f>
        <v>23000277600</v>
      </c>
      <c r="D48" s="12"/>
      <c r="E48" s="41">
        <f t="shared" ref="E48:E91" si="0">IFERROR(C48/C$48,0)</f>
        <v>1</v>
      </c>
      <c r="J48" s="12"/>
    </row>
    <row r="49" spans="2:10">
      <c r="B49" s="39" t="s">
        <v>212</v>
      </c>
      <c r="C49" s="40">
        <f>대조선박_손익!$C$25*대조선박_손익!$C$23</f>
        <v>21816000000</v>
      </c>
      <c r="D49" s="41">
        <f>IFERROR(C49/C$48,0)</f>
        <v>0.94851029102361795</v>
      </c>
      <c r="E49" s="41">
        <f t="shared" si="0"/>
        <v>0.94851029102361795</v>
      </c>
      <c r="J49" s="12" t="s">
        <v>495</v>
      </c>
    </row>
    <row r="50" spans="2:10">
      <c r="B50" s="39" t="s">
        <v>496</v>
      </c>
      <c r="C50" s="40">
        <f>대조선박_손익!$C$30</f>
        <v>1184277600</v>
      </c>
      <c r="D50" s="41">
        <f>IFERROR(C50/C$48,0)</f>
        <v>5.1489708976382095E-2</v>
      </c>
      <c r="E50" s="41">
        <f t="shared" si="0"/>
        <v>5.1489708976382095E-2</v>
      </c>
      <c r="J50" s="12" t="s">
        <v>497</v>
      </c>
    </row>
    <row r="51" spans="2:10">
      <c r="B51" s="39" t="s">
        <v>215</v>
      </c>
      <c r="C51" s="40">
        <f>대조선박_손익!$C$31</f>
        <v>0</v>
      </c>
      <c r="D51" s="41">
        <f>IFERROR(C51/C$48,0)</f>
        <v>0</v>
      </c>
      <c r="E51" s="41">
        <f t="shared" si="0"/>
        <v>0</v>
      </c>
      <c r="J51" s="12" t="s">
        <v>498</v>
      </c>
    </row>
    <row r="52" spans="2:10">
      <c r="B52" s="8" t="s">
        <v>499</v>
      </c>
      <c r="C52" s="34">
        <f>SUM(C53:C59)</f>
        <v>18375662287.165241</v>
      </c>
      <c r="D52" s="12"/>
      <c r="E52" s="41">
        <f t="shared" si="0"/>
        <v>0.79893219580816022</v>
      </c>
      <c r="J52" s="12"/>
    </row>
    <row r="53" spans="2:10">
      <c r="B53" s="39" t="s">
        <v>500</v>
      </c>
      <c r="C53" s="40">
        <f>손익계산서_원본!$D$12*대조선박_손익!$C$11</f>
        <v>1253988000</v>
      </c>
      <c r="D53" s="41">
        <f t="shared" ref="D53:D64" si="1">IFERROR(C53/C$52,0)</f>
        <v>6.8241785270284752E-2</v>
      </c>
      <c r="E53" s="41">
        <f t="shared" si="0"/>
        <v>5.452055935185756E-2</v>
      </c>
      <c r="J53" s="12" t="s">
        <v>501</v>
      </c>
    </row>
    <row r="54" spans="2:10">
      <c r="B54" s="39" t="s">
        <v>502</v>
      </c>
      <c r="C54" s="40">
        <f>손익계산서_원본!$D$13*대조선박_손익!$C$11</f>
        <v>148252000</v>
      </c>
      <c r="D54" s="41">
        <f t="shared" si="1"/>
        <v>8.0678452663743641E-3</v>
      </c>
      <c r="E54" s="41">
        <f t="shared" si="0"/>
        <v>6.4456613341049417E-3</v>
      </c>
      <c r="J54" s="10" t="s">
        <v>503</v>
      </c>
    </row>
    <row r="55" spans="2:10">
      <c r="B55" s="39" t="s">
        <v>504</v>
      </c>
      <c r="C55" s="40">
        <f>손익계산서_원본!$D$14*대조선박_손익!$C$11</f>
        <v>267351000</v>
      </c>
      <c r="D55" s="41">
        <f t="shared" si="1"/>
        <v>1.4549189891606537E-2</v>
      </c>
      <c r="E55" s="41">
        <f t="shared" si="0"/>
        <v>1.16238162273311E-2</v>
      </c>
      <c r="J55" s="10" t="s">
        <v>503</v>
      </c>
    </row>
    <row r="56" spans="2:10">
      <c r="B56" s="39" t="s">
        <v>221</v>
      </c>
      <c r="C56" s="40">
        <f>대조선박_손익!$C$33</f>
        <v>2250000000</v>
      </c>
      <c r="D56" s="41">
        <f t="shared" si="1"/>
        <v>0.12244456634205486</v>
      </c>
      <c r="E56" s="41">
        <f t="shared" si="0"/>
        <v>9.7824906252435839E-2</v>
      </c>
      <c r="J56" s="12" t="s">
        <v>505</v>
      </c>
    </row>
    <row r="57" spans="2:10">
      <c r="B57" s="39" t="s">
        <v>223</v>
      </c>
      <c r="C57" s="40">
        <f>손익계산서_원본!$D$16</f>
        <v>48282000</v>
      </c>
      <c r="D57" s="41">
        <f t="shared" si="1"/>
        <v>2.6274971342787079E-3</v>
      </c>
      <c r="E57" s="41">
        <f t="shared" si="0"/>
        <v>2.0991920549689367E-3</v>
      </c>
      <c r="J57" s="12" t="s">
        <v>506</v>
      </c>
    </row>
    <row r="58" spans="2:10">
      <c r="B58" s="39" t="s">
        <v>224</v>
      </c>
      <c r="C58" s="40">
        <f>손익계산서_원본!$D$17</f>
        <v>30929000</v>
      </c>
      <c r="D58" s="41">
        <f t="shared" si="1"/>
        <v>1.6831502188415178E-3</v>
      </c>
      <c r="E58" s="41">
        <f t="shared" si="0"/>
        <v>1.3447229002140392E-3</v>
      </c>
      <c r="J58" s="12" t="s">
        <v>506</v>
      </c>
    </row>
    <row r="59" spans="2:10">
      <c r="B59" s="39" t="s">
        <v>146</v>
      </c>
      <c r="C59" s="40">
        <f>대조선박_손익!$G$44</f>
        <v>14376860287.165241</v>
      </c>
      <c r="D59" s="41">
        <f t="shared" si="1"/>
        <v>0.78238596587655929</v>
      </c>
      <c r="E59" s="41">
        <f t="shared" si="0"/>
        <v>0.62507333768724782</v>
      </c>
      <c r="J59" s="12" t="s">
        <v>507</v>
      </c>
    </row>
    <row r="60" spans="2:10">
      <c r="B60" s="69" t="s">
        <v>271</v>
      </c>
      <c r="C60" s="40">
        <f>대조선박_손익!$G$39</f>
        <v>12980556335.308731</v>
      </c>
      <c r="D60" s="41">
        <f t="shared" si="1"/>
        <v>0.70639937393577357</v>
      </c>
      <c r="E60" s="41">
        <f t="shared" si="0"/>
        <v>0.56436520293601722</v>
      </c>
      <c r="J60" s="10" t="s">
        <v>508</v>
      </c>
    </row>
    <row r="61" spans="2:10">
      <c r="B61" s="69" t="s">
        <v>273</v>
      </c>
      <c r="C61" s="40">
        <f>대조선박_손익!$G$40</f>
        <v>931156429.3379941</v>
      </c>
      <c r="D61" s="41">
        <f t="shared" si="1"/>
        <v>5.0673353416403083E-2</v>
      </c>
      <c r="E61" s="41">
        <f t="shared" si="0"/>
        <v>4.0484573513929853E-2</v>
      </c>
      <c r="J61" s="10" t="s">
        <v>508</v>
      </c>
    </row>
    <row r="62" spans="2:10">
      <c r="B62" s="69" t="s">
        <v>275</v>
      </c>
      <c r="C62" s="40">
        <f>대조선박_손익!$G$41</f>
        <v>441890146.39259106</v>
      </c>
      <c r="D62" s="41">
        <f t="shared" si="1"/>
        <v>2.4047576598163534E-2</v>
      </c>
      <c r="E62" s="41">
        <f t="shared" si="0"/>
        <v>1.9212383175435721E-2</v>
      </c>
      <c r="J62" s="10" t="s">
        <v>508</v>
      </c>
    </row>
    <row r="63" spans="2:10">
      <c r="B63" s="69" t="s">
        <v>276</v>
      </c>
      <c r="C63" s="40">
        <f>대조선박_손익!$G$42</f>
        <v>0</v>
      </c>
      <c r="D63" s="41">
        <f t="shared" si="1"/>
        <v>0</v>
      </c>
      <c r="E63" s="41">
        <f t="shared" si="0"/>
        <v>0</v>
      </c>
      <c r="J63" s="10" t="s">
        <v>508</v>
      </c>
    </row>
    <row r="64" spans="2:10">
      <c r="B64" s="69" t="s">
        <v>277</v>
      </c>
      <c r="C64" s="40">
        <f>대조선박_손익!$G$43</f>
        <v>23257376.12592585</v>
      </c>
      <c r="D64" s="41">
        <f t="shared" si="1"/>
        <v>1.2656619262191337E-3</v>
      </c>
      <c r="E64" s="41">
        <f t="shared" si="0"/>
        <v>1.011178061865038E-3</v>
      </c>
      <c r="J64" s="10" t="s">
        <v>508</v>
      </c>
    </row>
    <row r="65" spans="2:10">
      <c r="B65" s="8" t="s">
        <v>509</v>
      </c>
      <c r="C65" s="34">
        <f>C48-C52</f>
        <v>4624615312.8347588</v>
      </c>
      <c r="D65" s="12"/>
      <c r="E65" s="41">
        <f t="shared" si="0"/>
        <v>0.20106780419183978</v>
      </c>
      <c r="J65" s="12"/>
    </row>
    <row r="66" spans="2:10">
      <c r="B66" s="8" t="s">
        <v>510</v>
      </c>
      <c r="C66" s="34">
        <f>SUM(C67:C72)</f>
        <v>3121012511.8145642</v>
      </c>
      <c r="D66" s="41">
        <f t="shared" ref="D66:D86" si="2">IFERROR(C66/C$66,0)</f>
        <v>1</v>
      </c>
      <c r="E66" s="41">
        <f t="shared" si="0"/>
        <v>0.13569455839152847</v>
      </c>
      <c r="J66" s="12"/>
    </row>
    <row r="67" spans="2:10">
      <c r="B67" s="39" t="s">
        <v>511</v>
      </c>
      <c r="C67" s="40">
        <f>손익계산서_원본!$D$26*대조선박_손익!$C$12</f>
        <v>1822878650</v>
      </c>
      <c r="D67" s="41">
        <f t="shared" si="2"/>
        <v>0.58406643456234464</v>
      </c>
      <c r="E67" s="41">
        <f t="shared" si="0"/>
        <v>7.9254636909251913E-2</v>
      </c>
      <c r="J67" s="10" t="s">
        <v>512</v>
      </c>
    </row>
    <row r="68" spans="2:10">
      <c r="B68" s="39" t="s">
        <v>513</v>
      </c>
      <c r="C68" s="40">
        <f>손익계산서_원본!$D$27*대조선박_손익!$C$12</f>
        <v>152420193</v>
      </c>
      <c r="D68" s="41">
        <f t="shared" si="2"/>
        <v>4.8836777303203613E-2</v>
      </c>
      <c r="E68" s="41">
        <f t="shared" si="0"/>
        <v>6.6268849294236348E-3</v>
      </c>
      <c r="J68" s="10" t="s">
        <v>512</v>
      </c>
    </row>
    <row r="69" spans="2:10">
      <c r="B69" s="39" t="s">
        <v>514</v>
      </c>
      <c r="C69" s="40">
        <f>손익계산서_원본!$D$28*대조선박_손익!$C$12</f>
        <v>147553407</v>
      </c>
      <c r="D69" s="41">
        <f t="shared" si="2"/>
        <v>4.727741604413245E-2</v>
      </c>
      <c r="E69" s="41">
        <f t="shared" si="0"/>
        <v>6.4152880920011158E-3</v>
      </c>
      <c r="J69" s="10" t="s">
        <v>512</v>
      </c>
    </row>
    <row r="70" spans="2:10">
      <c r="B70" s="39" t="s">
        <v>223</v>
      </c>
      <c r="C70" s="40">
        <f>손익계산서_원본!$D$33</f>
        <v>62971500</v>
      </c>
      <c r="D70" s="41">
        <f t="shared" si="2"/>
        <v>2.0176625297598765E-2</v>
      </c>
      <c r="E70" s="41">
        <f t="shared" si="0"/>
        <v>2.7378582595890058E-3</v>
      </c>
      <c r="J70" s="12" t="s">
        <v>506</v>
      </c>
    </row>
    <row r="71" spans="2:10">
      <c r="B71" s="39" t="s">
        <v>153</v>
      </c>
      <c r="C71" s="40">
        <f>손익계산서_원본!$D$42*대조선박_손익!$C$36</f>
        <v>682510200.81456435</v>
      </c>
      <c r="D71" s="41">
        <f t="shared" si="2"/>
        <v>0.2186823020513145</v>
      </c>
      <c r="E71" s="41">
        <f t="shared" si="0"/>
        <v>2.9673998404895964E-2</v>
      </c>
      <c r="J71" s="10" t="s">
        <v>515</v>
      </c>
    </row>
    <row r="72" spans="2:10">
      <c r="B72" s="39" t="s">
        <v>516</v>
      </c>
      <c r="C72" s="40">
        <f>SUM(C73:C86)</f>
        <v>252678561</v>
      </c>
      <c r="D72" s="41">
        <f t="shared" si="2"/>
        <v>8.0960444741406068E-2</v>
      </c>
      <c r="E72" s="41">
        <f t="shared" si="0"/>
        <v>1.098589179636684E-2</v>
      </c>
      <c r="J72" s="12" t="s">
        <v>517</v>
      </c>
    </row>
    <row r="73" spans="2:10">
      <c r="B73" s="69" t="s">
        <v>518</v>
      </c>
      <c r="C73" s="40">
        <f>손익계산서_원본!$D$29</f>
        <v>9246562</v>
      </c>
      <c r="D73" s="41">
        <f t="shared" si="2"/>
        <v>2.9626802087454711E-3</v>
      </c>
      <c r="E73" s="41">
        <f t="shared" si="0"/>
        <v>4.0201958258103809E-4</v>
      </c>
      <c r="J73" s="12"/>
    </row>
    <row r="74" spans="2:10">
      <c r="B74" s="69" t="s">
        <v>519</v>
      </c>
      <c r="C74" s="40">
        <f>손익계산서_원본!$D$30</f>
        <v>8802000</v>
      </c>
      <c r="D74" s="41">
        <f t="shared" si="2"/>
        <v>2.8202386138088554E-3</v>
      </c>
      <c r="E74" s="41">
        <f t="shared" si="0"/>
        <v>3.8269103325952903E-4</v>
      </c>
      <c r="J74" s="12"/>
    </row>
    <row r="75" spans="2:10">
      <c r="B75" s="69" t="s">
        <v>520</v>
      </c>
      <c r="C75" s="40">
        <f>손익계산서_원본!$D$31</f>
        <v>9364469</v>
      </c>
      <c r="D75" s="41">
        <f t="shared" si="2"/>
        <v>3.0004586538986589E-3</v>
      </c>
      <c r="E75" s="41">
        <f t="shared" si="0"/>
        <v>4.0714591201281849E-4</v>
      </c>
      <c r="J75" s="12"/>
    </row>
    <row r="76" spans="2:10">
      <c r="B76" s="69" t="s">
        <v>521</v>
      </c>
      <c r="C76" s="40">
        <f>손익계산서_원본!$D$32</f>
        <v>16446116</v>
      </c>
      <c r="D76" s="41">
        <f t="shared" si="2"/>
        <v>5.2694809577800081E-3</v>
      </c>
      <c r="E76" s="41">
        <f t="shared" si="0"/>
        <v>7.1503989151852675E-4</v>
      </c>
      <c r="J76" s="12"/>
    </row>
    <row r="77" spans="2:10">
      <c r="B77" s="69" t="s">
        <v>522</v>
      </c>
      <c r="C77" s="40">
        <f>손익계산서_원본!$D$34</f>
        <v>74136257</v>
      </c>
      <c r="D77" s="41">
        <f t="shared" si="2"/>
        <v>2.3753912142087826E-2</v>
      </c>
      <c r="E77" s="41">
        <f t="shared" si="0"/>
        <v>3.2232766181917736E-3</v>
      </c>
      <c r="J77" s="12"/>
    </row>
    <row r="78" spans="2:10">
      <c r="B78" s="69" t="s">
        <v>523</v>
      </c>
      <c r="C78" s="40">
        <f>손익계산서_원본!$D$35</f>
        <v>0</v>
      </c>
      <c r="D78" s="41">
        <f t="shared" si="2"/>
        <v>0</v>
      </c>
      <c r="E78" s="41">
        <f t="shared" si="0"/>
        <v>0</v>
      </c>
      <c r="J78" s="12"/>
    </row>
    <row r="79" spans="2:10">
      <c r="B79" s="69" t="s">
        <v>275</v>
      </c>
      <c r="C79" s="40">
        <f>손익계산서_원본!$D$36</f>
        <v>7359767</v>
      </c>
      <c r="D79" s="41">
        <f t="shared" si="2"/>
        <v>2.3581344105926103E-3</v>
      </c>
      <c r="E79" s="41">
        <f t="shared" si="0"/>
        <v>3.1998600747323153E-4</v>
      </c>
      <c r="J79" s="12"/>
    </row>
    <row r="80" spans="2:10">
      <c r="B80" s="69" t="s">
        <v>524</v>
      </c>
      <c r="C80" s="40">
        <f>손익계산서_원본!$D$37</f>
        <v>509000</v>
      </c>
      <c r="D80" s="41">
        <f t="shared" si="2"/>
        <v>1.6308809979876247E-4</v>
      </c>
      <c r="E80" s="41">
        <f t="shared" si="0"/>
        <v>2.2130167681106596E-5</v>
      </c>
      <c r="J80" s="12"/>
    </row>
    <row r="81" spans="2:10">
      <c r="B81" s="69" t="s">
        <v>525</v>
      </c>
      <c r="C81" s="40">
        <f>손익계산서_원본!$D$38</f>
        <v>513850</v>
      </c>
      <c r="D81" s="41">
        <f t="shared" si="2"/>
        <v>1.6464208267503752E-4</v>
      </c>
      <c r="E81" s="41">
        <f t="shared" si="0"/>
        <v>2.2341034701250735E-5</v>
      </c>
      <c r="J81" s="12"/>
    </row>
    <row r="82" spans="2:10">
      <c r="B82" s="69" t="s">
        <v>526</v>
      </c>
      <c r="C82" s="40">
        <f>손익계산서_원본!$D$39</f>
        <v>1199818</v>
      </c>
      <c r="D82" s="41">
        <f t="shared" si="2"/>
        <v>3.8443229415393242E-4</v>
      </c>
      <c r="E82" s="41">
        <f t="shared" si="0"/>
        <v>5.2165370386660029E-5</v>
      </c>
      <c r="J82" s="12"/>
    </row>
    <row r="83" spans="2:10">
      <c r="B83" s="69" t="s">
        <v>527</v>
      </c>
      <c r="C83" s="40">
        <f>손익계산서_원본!$D$40</f>
        <v>8368000</v>
      </c>
      <c r="D83" s="41">
        <f t="shared" si="2"/>
        <v>2.6811811770452738E-3</v>
      </c>
      <c r="E83" s="41">
        <f t="shared" si="0"/>
        <v>3.6382169578683696E-4</v>
      </c>
      <c r="J83" s="12"/>
    </row>
    <row r="84" spans="2:10">
      <c r="B84" s="69" t="s">
        <v>528</v>
      </c>
      <c r="C84" s="40">
        <f>손익계산서_원본!$D$41</f>
        <v>9759123</v>
      </c>
      <c r="D84" s="41">
        <f t="shared" si="2"/>
        <v>3.1269092844251438E-3</v>
      </c>
      <c r="E84" s="41">
        <f t="shared" si="0"/>
        <v>4.2430457448044018E-4</v>
      </c>
      <c r="J84" s="12"/>
    </row>
    <row r="85" spans="2:10">
      <c r="B85" s="69" t="s">
        <v>529</v>
      </c>
      <c r="C85" s="40">
        <f>손익계산서_원본!$D$43</f>
        <v>106973599</v>
      </c>
      <c r="D85" s="41">
        <f t="shared" si="2"/>
        <v>3.4275286816394496E-2</v>
      </c>
      <c r="E85" s="41">
        <f t="shared" si="0"/>
        <v>4.6509699082936283E-3</v>
      </c>
      <c r="J85" s="12"/>
    </row>
    <row r="86" spans="2:10">
      <c r="B86" s="69" t="s">
        <v>530</v>
      </c>
      <c r="C86" s="40">
        <f>손익계산서_원본!$D$44</f>
        <v>0</v>
      </c>
      <c r="D86" s="41">
        <f t="shared" si="2"/>
        <v>0</v>
      </c>
      <c r="E86" s="41">
        <f t="shared" si="0"/>
        <v>0</v>
      </c>
      <c r="J86" s="12"/>
    </row>
    <row r="87" spans="2:10">
      <c r="B87" s="70" t="s">
        <v>531</v>
      </c>
      <c r="C87" s="47">
        <f>C65-C66</f>
        <v>1503602801.0201945</v>
      </c>
      <c r="D87" s="12"/>
      <c r="E87" s="41">
        <f t="shared" si="0"/>
        <v>6.5373245800311314E-2</v>
      </c>
      <c r="J87" s="12"/>
    </row>
    <row r="88" spans="2:10">
      <c r="B88" s="8" t="s">
        <v>532</v>
      </c>
      <c r="C88" s="34">
        <f>C87+C56</f>
        <v>3753602801.0201945</v>
      </c>
      <c r="D88" s="12"/>
      <c r="E88" s="41">
        <f t="shared" si="0"/>
        <v>0.16319815205274715</v>
      </c>
      <c r="J88" s="10" t="s">
        <v>327</v>
      </c>
    </row>
    <row r="89" spans="2:10">
      <c r="B89" s="8" t="s">
        <v>533</v>
      </c>
      <c r="C89" s="34">
        <f>C90</f>
        <v>700000000.00000012</v>
      </c>
      <c r="D89" s="12"/>
      <c r="E89" s="41">
        <f t="shared" si="0"/>
        <v>3.04344152785356E-2</v>
      </c>
      <c r="J89" s="12"/>
    </row>
    <row r="90" spans="2:10">
      <c r="B90" s="39" t="s">
        <v>534</v>
      </c>
      <c r="C90" s="40">
        <f>IF(AND(차입금_상환!$C$6&gt;0,차입금_상환!$C$7&gt;0),차입금_상환!$C$13,0)</f>
        <v>700000000.00000012</v>
      </c>
      <c r="D90" s="41">
        <f>IFERROR(C90/C$89,0)</f>
        <v>1</v>
      </c>
      <c r="E90" s="41">
        <f t="shared" si="0"/>
        <v>3.04344152785356E-2</v>
      </c>
      <c r="J90" s="12" t="s">
        <v>535</v>
      </c>
    </row>
    <row r="91" spans="2:10">
      <c r="B91" s="70" t="s">
        <v>536</v>
      </c>
      <c r="C91" s="47">
        <f>C87-C89</f>
        <v>803602801.02019441</v>
      </c>
      <c r="D91" s="12"/>
      <c r="E91" s="41">
        <f t="shared" si="0"/>
        <v>3.4938830521775717E-2</v>
      </c>
      <c r="J91" s="12"/>
    </row>
    <row r="92" spans="2:10">
      <c r="B92" s="5" t="s">
        <v>537</v>
      </c>
      <c r="C92" s="34"/>
      <c r="J92" s="10" t="s">
        <v>538</v>
      </c>
    </row>
    <row r="93" spans="2:10">
      <c r="B93" s="44" t="s">
        <v>301</v>
      </c>
      <c r="C93" s="40">
        <f>C56</f>
        <v>2250000000</v>
      </c>
      <c r="D93" s="12"/>
      <c r="E93" s="41">
        <f>IFERROR(C93/C$48,0)</f>
        <v>9.7824906252435839E-2</v>
      </c>
      <c r="J93" s="12"/>
    </row>
    <row r="94" spans="2:10">
      <c r="B94" s="44" t="s">
        <v>539</v>
      </c>
      <c r="C94" s="40">
        <f>-차입금_상환!$C$14</f>
        <v>-1369678985.2749619</v>
      </c>
      <c r="D94" s="12"/>
      <c r="E94" s="41">
        <f>IFERROR(C94/C$48,0)</f>
        <v>-5.9550541480202043E-2</v>
      </c>
      <c r="J94" s="12" t="s">
        <v>540</v>
      </c>
    </row>
    <row r="95" spans="2:10">
      <c r="B95" s="59" t="s">
        <v>541</v>
      </c>
      <c r="C95" s="47">
        <f>C91+C93+C94</f>
        <v>1683923815.7452326</v>
      </c>
      <c r="D95" s="12"/>
      <c r="E95" s="41">
        <f>IFERROR(C95/C$48,0)</f>
        <v>7.321319529400952E-2</v>
      </c>
      <c r="J95" s="12"/>
    </row>
    <row r="97" spans="2:10">
      <c r="B97" s="51" t="s">
        <v>8</v>
      </c>
      <c r="C97" s="71">
        <f>IFERROR(C87/C48,0)</f>
        <v>6.5373245800311314E-2</v>
      </c>
      <c r="J97" s="3"/>
    </row>
    <row r="98" spans="2:10">
      <c r="B98" s="10" t="s">
        <v>542</v>
      </c>
      <c r="C98" s="61">
        <f>IFERROR(C88/C48,0)</f>
        <v>0.16319815205274715</v>
      </c>
      <c r="J98" s="3"/>
    </row>
    <row r="99" spans="2:10" ht="16.5">
      <c r="B99" s="25" t="s">
        <v>543</v>
      </c>
    </row>
    <row r="100" spans="2:10">
      <c r="B100" s="4" t="s">
        <v>75</v>
      </c>
      <c r="C100" s="116" t="s">
        <v>76</v>
      </c>
      <c r="D100" s="119"/>
      <c r="E100" s="119"/>
      <c r="F100" s="119"/>
      <c r="G100" s="119"/>
      <c r="H100" s="119"/>
      <c r="I100" s="119"/>
      <c r="J100" s="4" t="s">
        <v>137</v>
      </c>
    </row>
    <row r="101" spans="2:10">
      <c r="B101" s="12" t="s">
        <v>544</v>
      </c>
      <c r="C101" s="12" t="str">
        <f>TEXT(차입금_상환!$C$6/100000000,"#,##0")&amp;"억 · "&amp;TEXT(차입금_상환!$C$7,"0.0%")&amp;" · "&amp;차입금_상환!$C$8&amp;"년 · "&amp;차입금_상환!$C$10&amp;IF(차입금_상환!$C$9&gt;0," · 거치 "&amp;차입금_상환!$C$9&amp;"년","")</f>
        <v>200억 · 3.5% · 15년 · 원리금균등 · 거치 3년</v>
      </c>
      <c r="J101" s="12"/>
    </row>
    <row r="102" spans="2:10">
      <c r="B102" s="12" t="s">
        <v>545</v>
      </c>
      <c r="C102" s="40">
        <f>차입금_상환!$C$15</f>
        <v>2069678985.2749619</v>
      </c>
      <c r="J102" s="12" t="s">
        <v>546</v>
      </c>
    </row>
    <row r="103" spans="2:10">
      <c r="B103" s="12" t="s">
        <v>547</v>
      </c>
      <c r="C103" s="40">
        <f>차입금_상환!$C$16</f>
        <v>24836147823.299545</v>
      </c>
      <c r="J103" s="12"/>
    </row>
    <row r="104" spans="2:10">
      <c r="B104" s="70" t="s">
        <v>34</v>
      </c>
      <c r="C104" s="72">
        <f>IF(차입금_상환!$C$15&gt;0,C88/차입금_상환!$C$15,"-")</f>
        <v>1.8136159412767672</v>
      </c>
      <c r="J104" s="10" t="s">
        <v>548</v>
      </c>
    </row>
    <row r="105" spans="2:10">
      <c r="B105" s="12" t="s">
        <v>549</v>
      </c>
      <c r="C105" s="12" t="str">
        <f>IF(NOT(ISNUMBER(대조선박_손익!$C$104)),"차입 없음",IF(대조선박_손익!$C$104&lt;1,"부족 "&amp;TEXT((차입금_상환!$C$15-C88)/1000000,"#,##0")&amp;"백만",IF(대조선박_손익!$C$104&lt;1.3,"요구치 1.2~1.3 미달","여유")))</f>
        <v>여유</v>
      </c>
      <c r="J105" s="12"/>
    </row>
    <row r="106" spans="2:10" ht="16.5">
      <c r="B106" s="25" t="s">
        <v>1049</v>
      </c>
    </row>
    <row r="107" spans="2:10">
      <c r="B107" s="4" t="s">
        <v>134</v>
      </c>
      <c r="C107" s="4" t="s">
        <v>366</v>
      </c>
      <c r="D107" s="4" t="s">
        <v>430</v>
      </c>
      <c r="E107" s="4" t="s">
        <v>136</v>
      </c>
      <c r="F107" s="4" t="s">
        <v>141</v>
      </c>
      <c r="G107" s="4" t="s">
        <v>147</v>
      </c>
      <c r="H107" s="4" t="s">
        <v>154</v>
      </c>
      <c r="I107" s="4" t="s">
        <v>74</v>
      </c>
      <c r="J107" s="4" t="s">
        <v>550</v>
      </c>
    </row>
    <row r="108" spans="2:10">
      <c r="B108" s="12" t="s">
        <v>139</v>
      </c>
      <c r="C108" s="40">
        <f>대조선박_손익!$C$34</f>
        <v>1669591000</v>
      </c>
      <c r="D108" s="38" t="str">
        <f>설정값!$D$30</f>
        <v>O</v>
      </c>
      <c r="E108" s="38" t="str">
        <f>설정값!$E$30</f>
        <v>고정</v>
      </c>
      <c r="F108" s="40">
        <f t="shared" ref="F108:F114" si="3">IF(AND($D108="O",$E108="고정"),$C108,0)</f>
        <v>1669591000</v>
      </c>
      <c r="G108" s="40">
        <f t="shared" ref="G108:G114" si="4">IF(AND($D108="O",$E108="준변동"),$C108,0)</f>
        <v>0</v>
      </c>
      <c r="H108" s="40">
        <f t="shared" ref="H108:H114" si="5">IF(AND($D108="O",$E108="변동"),$C108,0)</f>
        <v>0</v>
      </c>
      <c r="I108" s="63" t="s">
        <v>431</v>
      </c>
      <c r="J108" s="12" t="s">
        <v>551</v>
      </c>
    </row>
    <row r="109" spans="2:10">
      <c r="B109" s="12" t="s">
        <v>143</v>
      </c>
      <c r="C109" s="40">
        <f>대조선박_손익!$C$33</f>
        <v>2250000000</v>
      </c>
      <c r="D109" s="38" t="str">
        <f>설정값!$D$31</f>
        <v>O</v>
      </c>
      <c r="E109" s="38" t="str">
        <f>설정값!$E$31</f>
        <v>고정</v>
      </c>
      <c r="F109" s="40">
        <f t="shared" si="3"/>
        <v>2250000000</v>
      </c>
      <c r="G109" s="40">
        <f t="shared" si="4"/>
        <v>0</v>
      </c>
      <c r="H109" s="40">
        <f t="shared" si="5"/>
        <v>0</v>
      </c>
      <c r="I109" s="63" t="s">
        <v>431</v>
      </c>
      <c r="J109" s="12" t="s">
        <v>505</v>
      </c>
    </row>
    <row r="110" spans="2:10">
      <c r="B110" s="12" t="s">
        <v>145</v>
      </c>
      <c r="C110" s="40">
        <f>원가구조_기준!$C$22</f>
        <v>79211000</v>
      </c>
      <c r="D110" s="38" t="str">
        <f>설정값!$D$32</f>
        <v>O</v>
      </c>
      <c r="E110" s="38" t="str">
        <f>설정값!$E$32</f>
        <v>고정</v>
      </c>
      <c r="F110" s="40">
        <f t="shared" si="3"/>
        <v>79211000</v>
      </c>
      <c r="G110" s="40">
        <f t="shared" si="4"/>
        <v>0</v>
      </c>
      <c r="H110" s="40">
        <f t="shared" si="5"/>
        <v>0</v>
      </c>
      <c r="I110" s="63" t="s">
        <v>431</v>
      </c>
      <c r="J110" s="12" t="s">
        <v>506</v>
      </c>
    </row>
    <row r="111" spans="2:10">
      <c r="B111" s="12" t="s">
        <v>146</v>
      </c>
      <c r="C111" s="40">
        <f>대조선박_손익!$G$44</f>
        <v>14376860287.165241</v>
      </c>
      <c r="D111" s="38" t="str">
        <f>설정값!$D$33</f>
        <v>O</v>
      </c>
      <c r="E111" s="38" t="str">
        <f>설정값!$E$33</f>
        <v>준변동</v>
      </c>
      <c r="F111" s="40">
        <f t="shared" si="3"/>
        <v>0</v>
      </c>
      <c r="G111" s="40">
        <f t="shared" si="4"/>
        <v>14376860287.165241</v>
      </c>
      <c r="H111" s="40">
        <f t="shared" si="5"/>
        <v>0</v>
      </c>
      <c r="I111" s="63" t="s">
        <v>431</v>
      </c>
      <c r="J111" s="12" t="s">
        <v>552</v>
      </c>
    </row>
    <row r="112" spans="2:10">
      <c r="B112" s="12" t="s">
        <v>150</v>
      </c>
      <c r="C112" s="40">
        <f>대조선박_손익!$C$35</f>
        <v>2122852250.0000002</v>
      </c>
      <c r="D112" s="38" t="str">
        <f>설정값!$D$34</f>
        <v>O</v>
      </c>
      <c r="E112" s="38" t="str">
        <f>설정값!$E$34</f>
        <v>고정</v>
      </c>
      <c r="F112" s="40">
        <f t="shared" si="3"/>
        <v>2122852250.0000002</v>
      </c>
      <c r="G112" s="40">
        <f t="shared" si="4"/>
        <v>0</v>
      </c>
      <c r="H112" s="40">
        <f t="shared" si="5"/>
        <v>0</v>
      </c>
      <c r="I112" s="63" t="s">
        <v>432</v>
      </c>
      <c r="J112" s="12" t="s">
        <v>553</v>
      </c>
    </row>
    <row r="113" spans="2:10">
      <c r="B113" s="12" t="s">
        <v>152</v>
      </c>
      <c r="C113" s="40">
        <f>원가구조_기준!$C$19</f>
        <v>315650061</v>
      </c>
      <c r="D113" s="38" t="str">
        <f>설정값!$D$35</f>
        <v>O</v>
      </c>
      <c r="E113" s="38" t="str">
        <f>설정값!$E$35</f>
        <v>고정</v>
      </c>
      <c r="F113" s="40">
        <f t="shared" si="3"/>
        <v>315650061</v>
      </c>
      <c r="G113" s="40">
        <f t="shared" si="4"/>
        <v>0</v>
      </c>
      <c r="H113" s="40">
        <f t="shared" si="5"/>
        <v>0</v>
      </c>
      <c r="I113" s="63" t="s">
        <v>432</v>
      </c>
      <c r="J113" s="12" t="s">
        <v>506</v>
      </c>
    </row>
    <row r="114" spans="2:10">
      <c r="B114" s="12" t="s">
        <v>153</v>
      </c>
      <c r="C114" s="40">
        <f>원가구조_기준!$C$18</f>
        <v>540820215</v>
      </c>
      <c r="D114" s="38" t="str">
        <f>설정값!$D$36</f>
        <v>O</v>
      </c>
      <c r="E114" s="38" t="str">
        <f>설정값!$E$36</f>
        <v>변동</v>
      </c>
      <c r="F114" s="40">
        <f t="shared" si="3"/>
        <v>0</v>
      </c>
      <c r="G114" s="40">
        <f t="shared" si="4"/>
        <v>0</v>
      </c>
      <c r="H114" s="40">
        <f t="shared" si="5"/>
        <v>540820215</v>
      </c>
      <c r="I114" s="63" t="s">
        <v>432</v>
      </c>
      <c r="J114" s="12" t="s">
        <v>554</v>
      </c>
    </row>
    <row r="115" spans="2:10">
      <c r="B115" s="5" t="s">
        <v>427</v>
      </c>
      <c r="C115" s="34">
        <f>SUM(C108:C114)</f>
        <v>21354984813.165241</v>
      </c>
      <c r="F115" s="34">
        <f>SUM(F108:F114)</f>
        <v>6437304311</v>
      </c>
      <c r="G115" s="34">
        <f>SUM(G108:G114)</f>
        <v>14376860287.165241</v>
      </c>
      <c r="H115" s="34">
        <f>SUM(H108:H114)</f>
        <v>540820215</v>
      </c>
    </row>
    <row r="116" spans="2:10">
      <c r="B116" s="12" t="s">
        <v>433</v>
      </c>
      <c r="F116" s="40">
        <f>SUMIF($I$108:$I$114,"op",F108:F114)</f>
        <v>3998802000</v>
      </c>
      <c r="G116" s="40">
        <f>SUMIF($I$108:$I$114,"op",G108:G114)</f>
        <v>14376860287.165241</v>
      </c>
      <c r="H116" s="40">
        <f>SUMIF($I$108:$I$114,"op",H108:H114)</f>
        <v>0</v>
      </c>
    </row>
    <row r="117" spans="2:10">
      <c r="B117" s="12" t="s">
        <v>434</v>
      </c>
      <c r="F117" s="40">
        <f>SUMIF($I$108:$I$114,"sga",F108:F114)</f>
        <v>2438502311</v>
      </c>
      <c r="G117" s="40">
        <f>SUMIF($I$108:$I$114,"sga",G108:G114)</f>
        <v>0</v>
      </c>
      <c r="H117" s="40">
        <f>SUMIF($I$108:$I$114,"sga",H108:H114)</f>
        <v>540820215</v>
      </c>
    </row>
    <row r="118" spans="2:10">
      <c r="B118" s="12" t="s">
        <v>435</v>
      </c>
      <c r="C118" s="40">
        <f>대조선박_손익!$G$115/설정값!$D$43</f>
        <v>23961433.811942067</v>
      </c>
      <c r="J118" s="3"/>
    </row>
    <row r="119" spans="2:10">
      <c r="B119" s="12" t="s">
        <v>555</v>
      </c>
      <c r="C119" s="40">
        <f>원가구조_기준!$C$74</f>
        <v>3754.181522632367</v>
      </c>
      <c r="J119" s="22"/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I36"/>
  <sheetViews>
    <sheetView zoomScale="85" zoomScaleNormal="85" workbookViewId="0">
      <selection activeCell="F14" sqref="F14"/>
    </sheetView>
  </sheetViews>
  <sheetFormatPr defaultColWidth="8.7109375" defaultRowHeight="15"/>
  <cols>
    <col min="1" max="1" width="2" customWidth="1"/>
    <col min="2" max="2" width="30" customWidth="1"/>
    <col min="3" max="8" width="18" customWidth="1"/>
    <col min="9" max="9" width="50" customWidth="1"/>
  </cols>
  <sheetData>
    <row r="1" spans="2:9" ht="20.25">
      <c r="B1" s="2" t="s">
        <v>556</v>
      </c>
    </row>
    <row r="2" spans="2:9">
      <c r="B2" s="3" t="s">
        <v>557</v>
      </c>
    </row>
    <row r="4" spans="2:9" ht="16.5">
      <c r="B4" s="25" t="s">
        <v>1032</v>
      </c>
    </row>
    <row r="5" spans="2:9">
      <c r="B5" s="4" t="s">
        <v>75</v>
      </c>
      <c r="C5" s="4" t="s">
        <v>76</v>
      </c>
      <c r="D5" s="119"/>
      <c r="E5" s="119"/>
      <c r="F5" s="119"/>
      <c r="G5" s="119"/>
      <c r="H5" s="119"/>
      <c r="I5" s="4" t="s">
        <v>367</v>
      </c>
    </row>
    <row r="6" spans="2:9">
      <c r="B6" s="12" t="s">
        <v>558</v>
      </c>
      <c r="C6" s="40">
        <f>MAX(0,N(설정값!$D$53))*1000000</f>
        <v>20000000000</v>
      </c>
      <c r="I6" s="12" t="s">
        <v>559</v>
      </c>
    </row>
    <row r="7" spans="2:9">
      <c r="B7" s="12" t="s">
        <v>188</v>
      </c>
      <c r="C7" s="61">
        <f>N(설정값!$D$54)</f>
        <v>3.5000000000000003E-2</v>
      </c>
      <c r="I7" s="12"/>
    </row>
    <row r="8" spans="2:9">
      <c r="B8" s="12" t="s">
        <v>560</v>
      </c>
      <c r="C8" s="56">
        <f>MAX(1,N(설정값!$D$55))</f>
        <v>15</v>
      </c>
      <c r="I8" s="12"/>
    </row>
    <row r="9" spans="2:9">
      <c r="B9" s="12" t="s">
        <v>561</v>
      </c>
      <c r="C9" s="56">
        <f>MAX(0,N(설정값!$D$56))</f>
        <v>3</v>
      </c>
      <c r="I9" s="12"/>
    </row>
    <row r="10" spans="2:9">
      <c r="B10" s="12" t="s">
        <v>192</v>
      </c>
      <c r="C10" s="12" t="str">
        <f>설정값!$D$57</f>
        <v>원리금균등</v>
      </c>
      <c r="I10" s="12"/>
    </row>
    <row r="11" spans="2:9">
      <c r="B11" s="12" t="s">
        <v>562</v>
      </c>
      <c r="C11" s="56">
        <f>MAX(1,차입금_상환!$C$8-차입금_상환!$C$9)</f>
        <v>12</v>
      </c>
      <c r="I11" s="12" t="s">
        <v>563</v>
      </c>
    </row>
    <row r="12" spans="2:9">
      <c r="B12" s="12" t="s">
        <v>564</v>
      </c>
      <c r="C12" s="40">
        <f>IF(차입금_상환!$C$7=0,차입금_상환!$C$6/차입금_상환!$C$11,차입금_상환!$C$6*차입금_상환!$C$7/(1-(1+차입금_상환!$C$7)^(-차입금_상환!$C$11)))</f>
        <v>2069678985.2749622</v>
      </c>
      <c r="I12" s="10" t="s">
        <v>565</v>
      </c>
    </row>
    <row r="13" spans="2:9">
      <c r="B13" s="51" t="s">
        <v>566</v>
      </c>
      <c r="C13" s="52">
        <f>차입금_상환!$C$6*차입금_상환!$C$7</f>
        <v>700000000.00000012</v>
      </c>
      <c r="I13" s="12" t="s">
        <v>567</v>
      </c>
    </row>
    <row r="14" spans="2:9">
      <c r="B14" s="51" t="s">
        <v>568</v>
      </c>
      <c r="C14" s="52">
        <f>IF(차입금_상환!$C$6&lt;=0,0,IF(차입금_상환!$C$10="원리금균등",차입금_상환!$C$12-차입금_상환!$C$13,IF(차입금_상환!$C$10="원금균등",차입금_상환!$C$6/차입금_상환!$C$11,0)))</f>
        <v>1369678985.2749619</v>
      </c>
      <c r="I14" s="10" t="s">
        <v>1033</v>
      </c>
    </row>
    <row r="15" spans="2:9">
      <c r="B15" s="59" t="s">
        <v>545</v>
      </c>
      <c r="C15" s="47">
        <f>차입금_상환!$C$13+차입금_상환!$C$14</f>
        <v>2069678985.2749619</v>
      </c>
      <c r="I15" s="12"/>
    </row>
    <row r="16" spans="2:9">
      <c r="B16" s="12" t="s">
        <v>569</v>
      </c>
      <c r="C16" s="40">
        <f>IF(차입금_상환!$C$6&lt;=0,0,IF(차입금_상환!$C$10="원리금균등",차입금_상환!$C$12*차입금_상환!$C$11,IF(차입금_상환!$C$10="원금균등",차입금_상환!$C$6+차입금_상환!$C$7*차입금_상환!$C$6*(차입금_상환!$C$11+1)/2,차입금_상환!$C$13*차입금_상환!$C$8+차입금_상환!$C$6)))</f>
        <v>24836147823.299545</v>
      </c>
      <c r="I16" s="12"/>
    </row>
    <row r="17" spans="2:9">
      <c r="B17" s="12" t="s">
        <v>570</v>
      </c>
      <c r="C17" s="40">
        <f>차입금_상환!$C$16-차입금_상환!$C$6</f>
        <v>4836147823.2995453</v>
      </c>
      <c r="I17" s="12"/>
    </row>
    <row r="18" spans="2:9" ht="16.5">
      <c r="B18" s="25" t="s">
        <v>1034</v>
      </c>
    </row>
    <row r="19" spans="2:9">
      <c r="B19" s="4" t="s">
        <v>571</v>
      </c>
      <c r="C19" s="73" t="s">
        <v>572</v>
      </c>
      <c r="D19" s="4" t="s">
        <v>573</v>
      </c>
      <c r="E19" s="4" t="s">
        <v>574</v>
      </c>
      <c r="F19" s="4" t="s">
        <v>575</v>
      </c>
      <c r="G19" s="4" t="s">
        <v>576</v>
      </c>
      <c r="H19" s="4" t="s">
        <v>577</v>
      </c>
      <c r="I19" s="4" t="s">
        <v>137</v>
      </c>
    </row>
    <row r="20" spans="2:9">
      <c r="B20" s="74">
        <v>1</v>
      </c>
      <c r="C20" s="63" t="s">
        <v>578</v>
      </c>
      <c r="D20" s="40">
        <f>차입금_상환!$C$6</f>
        <v>20000000000</v>
      </c>
      <c r="E20" s="40">
        <f>IF(OR(D20&lt;=0.000001,차입금_상환!$C$7&lt;=0),0,D20*차입금_상환!$C$7)</f>
        <v>700000000.00000012</v>
      </c>
      <c r="F20" s="40">
        <f>IF(D20&lt;=0.000001,0,IF(B20&lt;=차입금_상환!$C$9,0,IF(차입금_상환!$C$10="원리금균등",MIN(D20,MAX(0,차입금_상환!$C$12-E20)),IF(차입금_상환!$C$10="원금균등",MIN(D20,차입금_상환!$C$6/차입금_상환!$C$11),IF(B20=차입금_상환!$C$8,D20,0)))))</f>
        <v>0</v>
      </c>
      <c r="G20" s="40">
        <f t="shared" ref="G20:G34" si="0">E20+F20</f>
        <v>700000000.00000012</v>
      </c>
      <c r="H20" s="40">
        <f t="shared" ref="H20:H34" si="1">MAX(0,D20-F20)</f>
        <v>20000000000</v>
      </c>
      <c r="I20" s="102"/>
    </row>
    <row r="21" spans="2:9">
      <c r="B21" s="74">
        <v>2</v>
      </c>
      <c r="C21" s="63" t="s">
        <v>579</v>
      </c>
      <c r="D21" s="40">
        <f t="shared" ref="D21:D34" si="2">H20</f>
        <v>20000000000</v>
      </c>
      <c r="E21" s="40">
        <f>IF(OR(D21&lt;=0.000001,차입금_상환!$C$7&lt;=0),0,D21*차입금_상환!$C$7)</f>
        <v>700000000.00000012</v>
      </c>
      <c r="F21" s="40">
        <f>IF(D21&lt;=0.000001,0,IF(B21&lt;=차입금_상환!$C$9,0,IF(차입금_상환!$C$10="원리금균등",MIN(D21,MAX(0,차입금_상환!$C$12-E21)),IF(차입금_상환!$C$10="원금균등",MIN(D21,차입금_상환!$C$6/차입금_상환!$C$11),IF(B21=차입금_상환!$C$8,D21,0)))))</f>
        <v>0</v>
      </c>
      <c r="G21" s="40">
        <f t="shared" si="0"/>
        <v>700000000.00000012</v>
      </c>
      <c r="H21" s="40">
        <f t="shared" si="1"/>
        <v>20000000000</v>
      </c>
      <c r="I21" s="102"/>
    </row>
    <row r="22" spans="2:9">
      <c r="B22" s="74">
        <v>3</v>
      </c>
      <c r="C22" s="63" t="s">
        <v>580</v>
      </c>
      <c r="D22" s="40">
        <f t="shared" si="2"/>
        <v>20000000000</v>
      </c>
      <c r="E22" s="40">
        <f>IF(OR(D22&lt;=0.000001,차입금_상환!$C$7&lt;=0),0,D22*차입금_상환!$C$7)</f>
        <v>700000000.00000012</v>
      </c>
      <c r="F22" s="40">
        <f>IF(D22&lt;=0.000001,0,IF(B22&lt;=차입금_상환!$C$9,0,IF(차입금_상환!$C$10="원리금균등",MIN(D22,MAX(0,차입금_상환!$C$12-E22)),IF(차입금_상환!$C$10="원금균등",MIN(D22,차입금_상환!$C$6/차입금_상환!$C$11),IF(B22=차입금_상환!$C$8,D22,0)))))</f>
        <v>0</v>
      </c>
      <c r="G22" s="40">
        <f t="shared" si="0"/>
        <v>700000000.00000012</v>
      </c>
      <c r="H22" s="40">
        <f t="shared" si="1"/>
        <v>20000000000</v>
      </c>
      <c r="I22" s="102"/>
    </row>
    <row r="23" spans="2:9">
      <c r="B23" s="74">
        <v>4</v>
      </c>
      <c r="C23" s="63" t="s">
        <v>581</v>
      </c>
      <c r="D23" s="40">
        <f t="shared" si="2"/>
        <v>20000000000</v>
      </c>
      <c r="E23" s="40">
        <f>IF(OR(D23&lt;=0.000001,차입금_상환!$C$7&lt;=0),0,D23*차입금_상환!$C$7)</f>
        <v>700000000.00000012</v>
      </c>
      <c r="F23" s="40">
        <f>IF(D23&lt;=0.000001,0,IF(B23&lt;=차입금_상환!$C$9,0,IF(차입금_상환!$C$10="원리금균등",MIN(D23,MAX(0,차입금_상환!$C$12-E23)),IF(차입금_상환!$C$10="원금균등",MIN(D23,차입금_상환!$C$6/차입금_상환!$C$11),IF(B23=차입금_상환!$C$8,D23,0)))))</f>
        <v>1369678985.2749619</v>
      </c>
      <c r="G23" s="40">
        <f t="shared" si="0"/>
        <v>2069678985.2749619</v>
      </c>
      <c r="H23" s="40">
        <f t="shared" si="1"/>
        <v>18630321014.725037</v>
      </c>
      <c r="I23" s="102"/>
    </row>
    <row r="24" spans="2:9">
      <c r="B24" s="74">
        <v>5</v>
      </c>
      <c r="C24" s="63" t="s">
        <v>582</v>
      </c>
      <c r="D24" s="40">
        <f t="shared" si="2"/>
        <v>18630321014.725037</v>
      </c>
      <c r="E24" s="40">
        <f>IF(OR(D24&lt;=0.000001,차입금_상환!$C$7&lt;=0),0,D24*차입금_상환!$C$7)</f>
        <v>652061235.51537633</v>
      </c>
      <c r="F24" s="40">
        <f>IF(D24&lt;=0.000001,0,IF(B24&lt;=차입금_상환!$C$9,0,IF(차입금_상환!$C$10="원리금균등",MIN(D24,MAX(0,차입금_상환!$C$12-E24)),IF(차입금_상환!$C$10="원금균등",MIN(D24,차입금_상환!$C$6/차입금_상환!$C$11),IF(B24=차입금_상환!$C$8,D24,0)))))</f>
        <v>1417617749.7595859</v>
      </c>
      <c r="G24" s="40">
        <f t="shared" si="0"/>
        <v>2069678985.2749622</v>
      </c>
      <c r="H24" s="40">
        <f t="shared" si="1"/>
        <v>17212703264.96545</v>
      </c>
      <c r="I24" s="102"/>
    </row>
    <row r="25" spans="2:9">
      <c r="B25" s="74">
        <v>6</v>
      </c>
      <c r="C25" s="63" t="s">
        <v>583</v>
      </c>
      <c r="D25" s="40">
        <f t="shared" si="2"/>
        <v>17212703264.96545</v>
      </c>
      <c r="E25" s="40">
        <f>IF(OR(D25&lt;=0.000001,차입금_상환!$C$7&lt;=0),0,D25*차입금_상환!$C$7)</f>
        <v>602444614.27379084</v>
      </c>
      <c r="F25" s="40">
        <f>IF(D25&lt;=0.000001,0,IF(B25&lt;=차입금_상환!$C$9,0,IF(차입금_상환!$C$10="원리금균등",MIN(D25,MAX(0,차입금_상환!$C$12-E25)),IF(차입금_상환!$C$10="원금균등",MIN(D25,차입금_상환!$C$6/차입금_상환!$C$11),IF(B25=차입금_상환!$C$8,D25,0)))))</f>
        <v>1467234371.0011714</v>
      </c>
      <c r="G25" s="40">
        <f t="shared" si="0"/>
        <v>2069678985.2749622</v>
      </c>
      <c r="H25" s="40">
        <f t="shared" si="1"/>
        <v>15745468893.964279</v>
      </c>
      <c r="I25" s="102"/>
    </row>
    <row r="26" spans="2:9">
      <c r="B26" s="74">
        <v>7</v>
      </c>
      <c r="C26" s="63" t="s">
        <v>584</v>
      </c>
      <c r="D26" s="40">
        <f t="shared" si="2"/>
        <v>15745468893.964279</v>
      </c>
      <c r="E26" s="40">
        <f>IF(OR(D26&lt;=0.000001,차입금_상환!$C$7&lt;=0),0,D26*차입금_상환!$C$7)</f>
        <v>551091411.28874981</v>
      </c>
      <c r="F26" s="40">
        <f>IF(D26&lt;=0.000001,0,IF(B26&lt;=차입금_상환!$C$9,0,IF(차입금_상환!$C$10="원리금균등",MIN(D26,MAX(0,차입금_상환!$C$12-E26)),IF(차입금_상환!$C$10="원금균등",MIN(D26,차입금_상환!$C$6/차입금_상환!$C$11),IF(B26=차입금_상환!$C$8,D26,0)))))</f>
        <v>1518587573.9862123</v>
      </c>
      <c r="G26" s="40">
        <f t="shared" si="0"/>
        <v>2069678985.2749619</v>
      </c>
      <c r="H26" s="40">
        <f t="shared" si="1"/>
        <v>14226881319.978067</v>
      </c>
      <c r="I26" s="102"/>
    </row>
    <row r="27" spans="2:9">
      <c r="B27" s="74">
        <v>8</v>
      </c>
      <c r="C27" s="63" t="s">
        <v>585</v>
      </c>
      <c r="D27" s="40">
        <f t="shared" si="2"/>
        <v>14226881319.978067</v>
      </c>
      <c r="E27" s="40">
        <f>IF(OR(D27&lt;=0.000001,차입금_상환!$C$7&lt;=0),0,D27*차입금_상환!$C$7)</f>
        <v>497940846.1992324</v>
      </c>
      <c r="F27" s="40">
        <f>IF(D27&lt;=0.000001,0,IF(B27&lt;=차입금_상환!$C$9,0,IF(차입금_상환!$C$10="원리금균등",MIN(D27,MAX(0,차입금_상환!$C$12-E27)),IF(차입금_상환!$C$10="원금균등",MIN(D27,차입금_상환!$C$6/차입금_상환!$C$11),IF(B27=차입금_상환!$C$8,D27,0)))))</f>
        <v>1571738139.0757298</v>
      </c>
      <c r="G27" s="40">
        <f t="shared" si="0"/>
        <v>2069678985.2749622</v>
      </c>
      <c r="H27" s="40">
        <f t="shared" si="1"/>
        <v>12655143180.902338</v>
      </c>
      <c r="I27" s="102"/>
    </row>
    <row r="28" spans="2:9">
      <c r="B28" s="74">
        <v>9</v>
      </c>
      <c r="C28" s="63" t="s">
        <v>586</v>
      </c>
      <c r="D28" s="40">
        <f t="shared" si="2"/>
        <v>12655143180.902338</v>
      </c>
      <c r="E28" s="40">
        <f>IF(OR(D28&lt;=0.000001,차입금_상환!$C$7&lt;=0),0,D28*차입금_상환!$C$7)</f>
        <v>442930011.33158189</v>
      </c>
      <c r="F28" s="40">
        <f>IF(D28&lt;=0.000001,0,IF(B28&lt;=차입금_상환!$C$9,0,IF(차입금_상환!$C$10="원리금균등",MIN(D28,MAX(0,차입금_상환!$C$12-E28)),IF(차입금_상환!$C$10="원금균등",MIN(D28,차입금_상환!$C$6/차입금_상환!$C$11),IF(B28=차입금_상환!$C$8,D28,0)))))</f>
        <v>1626748973.9433804</v>
      </c>
      <c r="G28" s="40">
        <f t="shared" si="0"/>
        <v>2069678985.2749622</v>
      </c>
      <c r="H28" s="40">
        <f t="shared" si="1"/>
        <v>11028394206.958958</v>
      </c>
      <c r="I28" s="102"/>
    </row>
    <row r="29" spans="2:9">
      <c r="B29" s="74">
        <v>10</v>
      </c>
      <c r="C29" s="63" t="s">
        <v>587</v>
      </c>
      <c r="D29" s="40">
        <f t="shared" si="2"/>
        <v>11028394206.958958</v>
      </c>
      <c r="E29" s="40">
        <f>IF(OR(D29&lt;=0.000001,차입금_상환!$C$7&lt;=0),0,D29*차입금_상환!$C$7)</f>
        <v>385993797.24356353</v>
      </c>
      <c r="F29" s="40">
        <f>IF(D29&lt;=0.000001,0,IF(B29&lt;=차입금_상환!$C$9,0,IF(차입금_상환!$C$10="원리금균등",MIN(D29,MAX(0,차입금_상환!$C$12-E29)),IF(차입금_상환!$C$10="원금균등",MIN(D29,차입금_상환!$C$6/차입금_상환!$C$11),IF(B29=차입금_상환!$C$8,D29,0)))))</f>
        <v>1683685188.0313988</v>
      </c>
      <c r="G29" s="40">
        <f t="shared" si="0"/>
        <v>2069678985.2749624</v>
      </c>
      <c r="H29" s="40">
        <f t="shared" si="1"/>
        <v>9344709018.9275589</v>
      </c>
      <c r="I29" s="102"/>
    </row>
    <row r="30" spans="2:9">
      <c r="B30" s="74">
        <v>11</v>
      </c>
      <c r="C30" s="63" t="s">
        <v>588</v>
      </c>
      <c r="D30" s="40">
        <f t="shared" si="2"/>
        <v>9344709018.9275589</v>
      </c>
      <c r="E30" s="40">
        <f>IF(OR(D30&lt;=0.000001,차입금_상환!$C$7&lt;=0),0,D30*차입금_상환!$C$7)</f>
        <v>327064815.66246462</v>
      </c>
      <c r="F30" s="40">
        <f>IF(D30&lt;=0.000001,0,IF(B30&lt;=차입금_상환!$C$9,0,IF(차입금_상환!$C$10="원리금균등",MIN(D30,MAX(0,차입금_상환!$C$12-E30)),IF(차입금_상환!$C$10="원금균등",MIN(D30,차입금_상환!$C$6/차입금_상환!$C$11),IF(B30=차입금_상환!$C$8,D30,0)))))</f>
        <v>1742614169.6124976</v>
      </c>
      <c r="G30" s="40">
        <f t="shared" si="0"/>
        <v>2069678985.2749622</v>
      </c>
      <c r="H30" s="40">
        <f t="shared" si="1"/>
        <v>7602094849.3150616</v>
      </c>
      <c r="I30" s="102"/>
    </row>
    <row r="31" spans="2:9">
      <c r="B31" s="74">
        <v>12</v>
      </c>
      <c r="C31" s="38"/>
      <c r="D31" s="40">
        <f t="shared" si="2"/>
        <v>7602094849.3150616</v>
      </c>
      <c r="E31" s="40">
        <f>IF(OR(D31&lt;=0.000001,차입금_상환!$C$7&lt;=0),0,D31*차입금_상환!$C$7)</f>
        <v>266073319.72602719</v>
      </c>
      <c r="F31" s="40">
        <f>IF(D31&lt;=0.000001,0,IF(B31&lt;=차입금_상환!$C$9,0,IF(차입금_상환!$C$10="원리금균등",MIN(D31,MAX(0,차입금_상환!$C$12-E31)),IF(차입금_상환!$C$10="원금균등",MIN(D31,차입금_상환!$C$6/차입금_상환!$C$11),IF(B31=차입금_상환!$C$8,D31,0)))))</f>
        <v>1803605665.5489349</v>
      </c>
      <c r="G31" s="40">
        <f t="shared" si="0"/>
        <v>2069678985.2749622</v>
      </c>
      <c r="H31" s="40">
        <f t="shared" si="1"/>
        <v>5798489183.7661266</v>
      </c>
      <c r="I31" s="102"/>
    </row>
    <row r="32" spans="2:9">
      <c r="B32" s="74">
        <v>13</v>
      </c>
      <c r="C32" s="38"/>
      <c r="D32" s="40">
        <f t="shared" si="2"/>
        <v>5798489183.7661266</v>
      </c>
      <c r="E32" s="40">
        <f>IF(OR(D32&lt;=0.000001,차입금_상환!$C$7&lt;=0),0,D32*차입금_상환!$C$7)</f>
        <v>202947121.43181446</v>
      </c>
      <c r="F32" s="40">
        <f>IF(D32&lt;=0.000001,0,IF(B32&lt;=차입금_상환!$C$9,0,IF(차입금_상환!$C$10="원리금균등",MIN(D32,MAX(0,차입금_상환!$C$12-E32)),IF(차입금_상환!$C$10="원금균등",MIN(D32,차입금_상환!$C$6/차입금_상환!$C$11),IF(B32=차입금_상환!$C$8,D32,0)))))</f>
        <v>1866731863.8431478</v>
      </c>
      <c r="G32" s="40">
        <f t="shared" si="0"/>
        <v>2069678985.2749622</v>
      </c>
      <c r="H32" s="40">
        <f t="shared" si="1"/>
        <v>3931757319.9229789</v>
      </c>
      <c r="I32" s="102"/>
    </row>
    <row r="33" spans="2:9">
      <c r="B33" s="74">
        <v>14</v>
      </c>
      <c r="C33" s="38"/>
      <c r="D33" s="40">
        <f t="shared" si="2"/>
        <v>3931757319.9229789</v>
      </c>
      <c r="E33" s="40">
        <f>IF(OR(D33&lt;=0.000001,차입금_상환!$C$7&lt;=0),0,D33*차입금_상환!$C$7)</f>
        <v>137611506.19730428</v>
      </c>
      <c r="F33" s="40">
        <f>IF(D33&lt;=0.000001,0,IF(B33&lt;=차입금_상환!$C$9,0,IF(차입금_상환!$C$10="원리금균등",MIN(D33,MAX(0,차입금_상환!$C$12-E33)),IF(차입금_상환!$C$10="원금균등",MIN(D33,차입금_상환!$C$6/차입금_상환!$C$11),IF(B33=차입금_상환!$C$8,D33,0)))))</f>
        <v>1932067479.0776579</v>
      </c>
      <c r="G33" s="40">
        <f t="shared" si="0"/>
        <v>2069678985.2749622</v>
      </c>
      <c r="H33" s="40">
        <f t="shared" si="1"/>
        <v>1999689840.8453209</v>
      </c>
      <c r="I33" s="102"/>
    </row>
    <row r="34" spans="2:9">
      <c r="B34" s="74">
        <v>15</v>
      </c>
      <c r="C34" s="38"/>
      <c r="D34" s="40">
        <f t="shared" si="2"/>
        <v>1999689840.8453209</v>
      </c>
      <c r="E34" s="40">
        <f>IF(OR(D34&lt;=0.000001,차입금_상환!$C$7&lt;=0),0,D34*차입금_상환!$C$7)</f>
        <v>69989144.429586247</v>
      </c>
      <c r="F34" s="40">
        <f>IF(D34&lt;=0.000001,0,IF(B34&lt;=차입금_상환!$C$9,0,IF(차입금_상환!$C$10="원리금균등",MIN(D34,MAX(0,차입금_상환!$C$12-E34)),IF(차입금_상환!$C$10="원금균등",MIN(D34,차입금_상환!$C$6/차입금_상환!$C$11),IF(B34=차입금_상환!$C$8,D34,0)))))</f>
        <v>1999689840.8453209</v>
      </c>
      <c r="G34" s="40">
        <f t="shared" si="0"/>
        <v>2069678985.2749071</v>
      </c>
      <c r="H34" s="40">
        <f t="shared" si="1"/>
        <v>0</v>
      </c>
      <c r="I34" s="102"/>
    </row>
    <row r="35" spans="2:9">
      <c r="B35" s="5" t="s">
        <v>427</v>
      </c>
      <c r="E35" s="34">
        <f>SUM(E20:E34)</f>
        <v>6936147823.2994938</v>
      </c>
      <c r="F35" s="34">
        <f>SUM(F20:F34)</f>
        <v>20000000000</v>
      </c>
      <c r="G35" s="34">
        <f>SUM(G20:G34)</f>
        <v>26936147823.299496</v>
      </c>
    </row>
    <row r="36" spans="2:9">
      <c r="B36" s="3" t="s">
        <v>589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P51"/>
  <sheetViews>
    <sheetView zoomScale="85" zoomScaleNormal="85" workbookViewId="0">
      <pane xSplit="3" ySplit="6" topLeftCell="D31" activePane="bottomRight" state="frozen"/>
      <selection pane="topRight" activeCell="D1" sqref="D1"/>
      <selection pane="bottomLeft" activeCell="A7" sqref="A7"/>
      <selection pane="bottomRight" activeCell="J49" sqref="J49"/>
    </sheetView>
  </sheetViews>
  <sheetFormatPr defaultColWidth="8.7109375" defaultRowHeight="15"/>
  <cols>
    <col min="1" max="1" width="2" customWidth="1"/>
    <col min="2" max="2" width="34" customWidth="1"/>
    <col min="3" max="3" width="10" customWidth="1"/>
    <col min="4" max="15" width="10.5703125" customWidth="1"/>
    <col min="16" max="16" width="60" customWidth="1"/>
  </cols>
  <sheetData>
    <row r="1" spans="2:16" ht="26.25">
      <c r="B1" s="75" t="s">
        <v>590</v>
      </c>
    </row>
    <row r="2" spans="2:16">
      <c r="B2" s="22" t="s">
        <v>591</v>
      </c>
    </row>
    <row r="4" spans="2:16" ht="27">
      <c r="B4" s="76" t="s">
        <v>250</v>
      </c>
      <c r="C4" s="76" t="s">
        <v>210</v>
      </c>
      <c r="D4" s="77" t="s">
        <v>592</v>
      </c>
      <c r="E4" s="77" t="s">
        <v>593</v>
      </c>
      <c r="F4" s="77" t="s">
        <v>594</v>
      </c>
      <c r="G4" s="77" t="s">
        <v>595</v>
      </c>
      <c r="H4" s="77" t="s">
        <v>596</v>
      </c>
      <c r="I4" s="77" t="s">
        <v>597</v>
      </c>
      <c r="J4" s="77" t="s">
        <v>598</v>
      </c>
      <c r="K4" s="77" t="s">
        <v>599</v>
      </c>
      <c r="L4" s="77" t="s">
        <v>600</v>
      </c>
      <c r="M4" s="77" t="s">
        <v>601</v>
      </c>
      <c r="N4" s="77" t="s">
        <v>602</v>
      </c>
      <c r="O4" s="78" t="s">
        <v>603</v>
      </c>
      <c r="P4" s="79" t="s">
        <v>426</v>
      </c>
    </row>
    <row r="5" spans="2:16">
      <c r="B5" s="10" t="s">
        <v>604</v>
      </c>
      <c r="D5" s="80">
        <v>0</v>
      </c>
      <c r="E5" s="80">
        <v>1</v>
      </c>
      <c r="F5" s="80">
        <v>2</v>
      </c>
      <c r="G5" s="80">
        <v>3</v>
      </c>
      <c r="H5" s="80">
        <v>4</v>
      </c>
      <c r="I5" s="80">
        <v>5</v>
      </c>
      <c r="J5" s="80">
        <v>6</v>
      </c>
      <c r="K5" s="80">
        <v>7</v>
      </c>
      <c r="L5" s="80">
        <v>8</v>
      </c>
      <c r="M5" s="80">
        <v>9</v>
      </c>
      <c r="N5" s="80">
        <v>10</v>
      </c>
      <c r="O5" s="102"/>
      <c r="P5" s="102"/>
    </row>
    <row r="6" spans="2:16">
      <c r="B6" s="12" t="s">
        <v>605</v>
      </c>
      <c r="D6" s="63" t="s">
        <v>606</v>
      </c>
      <c r="E6" s="63" t="s">
        <v>607</v>
      </c>
      <c r="F6" s="63" t="s">
        <v>608</v>
      </c>
      <c r="G6" s="63" t="s">
        <v>609</v>
      </c>
      <c r="H6" s="63" t="s">
        <v>610</v>
      </c>
      <c r="I6" s="63" t="s">
        <v>611</v>
      </c>
      <c r="J6" s="63" t="s">
        <v>612</v>
      </c>
      <c r="K6" s="63" t="s">
        <v>613</v>
      </c>
      <c r="L6" s="63" t="s">
        <v>614</v>
      </c>
      <c r="M6" s="63" t="s">
        <v>615</v>
      </c>
      <c r="N6" s="63" t="s">
        <v>616</v>
      </c>
      <c r="O6" s="102"/>
      <c r="P6" s="102"/>
    </row>
    <row r="7" spans="2:16">
      <c r="B7" s="8" t="s">
        <v>494</v>
      </c>
      <c r="C7" s="81"/>
      <c r="D7" s="34">
        <f t="shared" ref="D7:N7" si="0">D8++D9++D10++D11</f>
        <v>23000.277600000001</v>
      </c>
      <c r="E7" s="34">
        <f t="shared" si="0"/>
        <v>23610.626596800001</v>
      </c>
      <c r="F7" s="34">
        <f t="shared" si="0"/>
        <v>24237.263163542393</v>
      </c>
      <c r="G7" s="34">
        <f t="shared" si="0"/>
        <v>24880.623611262159</v>
      </c>
      <c r="H7" s="34">
        <f t="shared" si="0"/>
        <v>25541.155969231826</v>
      </c>
      <c r="I7" s="34">
        <f t="shared" si="0"/>
        <v>26219.320300235056</v>
      </c>
      <c r="J7" s="34">
        <f t="shared" si="0"/>
        <v>26915.589024332385</v>
      </c>
      <c r="K7" s="34">
        <f t="shared" si="0"/>
        <v>27630.447251348181</v>
      </c>
      <c r="L7" s="34">
        <f t="shared" si="0"/>
        <v>28364.393122313857</v>
      </c>
      <c r="M7" s="34">
        <f t="shared" si="0"/>
        <v>29117.938160108839</v>
      </c>
      <c r="N7" s="34">
        <f t="shared" si="0"/>
        <v>29891.60762954715</v>
      </c>
      <c r="O7" s="123">
        <f t="shared" ref="O7:O48" si="1">AVERAGE(E7:N7)</f>
        <v>26640.896482872184</v>
      </c>
      <c r="P7" s="12"/>
    </row>
    <row r="8" spans="2:16">
      <c r="B8" s="39" t="s">
        <v>212</v>
      </c>
      <c r="C8" s="61">
        <f>설정값!$D$70</f>
        <v>2.7E-2</v>
      </c>
      <c r="D8" s="40">
        <f>대조선박_손익!$C$49/1000000</f>
        <v>21816</v>
      </c>
      <c r="E8" s="40">
        <f t="shared" ref="E8:N10" si="2">$D8*(1+$C8)^E$5</f>
        <v>22405.031999999999</v>
      </c>
      <c r="F8" s="40">
        <f t="shared" si="2"/>
        <v>23009.967863999995</v>
      </c>
      <c r="G8" s="40">
        <f t="shared" si="2"/>
        <v>23631.236996327996</v>
      </c>
      <c r="H8" s="40">
        <f t="shared" si="2"/>
        <v>24269.280395228849</v>
      </c>
      <c r="I8" s="40">
        <f t="shared" si="2"/>
        <v>24924.550965900024</v>
      </c>
      <c r="J8" s="40">
        <f t="shared" si="2"/>
        <v>25597.513841979322</v>
      </c>
      <c r="K8" s="40">
        <f t="shared" si="2"/>
        <v>26288.646715712763</v>
      </c>
      <c r="L8" s="40">
        <f t="shared" si="2"/>
        <v>26998.440177037002</v>
      </c>
      <c r="M8" s="40">
        <f t="shared" si="2"/>
        <v>27727.398061816999</v>
      </c>
      <c r="N8" s="40">
        <f t="shared" si="2"/>
        <v>28476.037809486057</v>
      </c>
      <c r="O8" s="121">
        <f t="shared" si="1"/>
        <v>25332.810482748901</v>
      </c>
      <c r="P8" s="12"/>
    </row>
    <row r="9" spans="2:16">
      <c r="B9" s="39" t="s">
        <v>496</v>
      </c>
      <c r="C9" s="61">
        <f>설정값!$D$71</f>
        <v>1.7999999999999999E-2</v>
      </c>
      <c r="D9" s="40">
        <f>대조선박_손익!$C$50/1000000</f>
        <v>1184.2775999999999</v>
      </c>
      <c r="E9" s="40">
        <f t="shared" si="2"/>
        <v>1205.5945967999999</v>
      </c>
      <c r="F9" s="40">
        <f t="shared" si="2"/>
        <v>1227.2952995424</v>
      </c>
      <c r="G9" s="40">
        <f t="shared" si="2"/>
        <v>1249.3866149341632</v>
      </c>
      <c r="H9" s="40">
        <f t="shared" si="2"/>
        <v>1271.8755740029781</v>
      </c>
      <c r="I9" s="40">
        <f t="shared" si="2"/>
        <v>1294.7693343350318</v>
      </c>
      <c r="J9" s="40">
        <f t="shared" si="2"/>
        <v>1318.0751823530622</v>
      </c>
      <c r="K9" s="40">
        <f t="shared" si="2"/>
        <v>1341.8005356354176</v>
      </c>
      <c r="L9" s="40">
        <f t="shared" si="2"/>
        <v>1365.952945276855</v>
      </c>
      <c r="M9" s="40">
        <f t="shared" si="2"/>
        <v>1390.5400982918384</v>
      </c>
      <c r="N9" s="40">
        <f t="shared" si="2"/>
        <v>1415.5698200610916</v>
      </c>
      <c r="O9" s="121">
        <f t="shared" si="1"/>
        <v>1308.0860001232836</v>
      </c>
      <c r="P9" s="10" t="s">
        <v>617</v>
      </c>
    </row>
    <row r="10" spans="2:16">
      <c r="B10" s="39" t="s">
        <v>215</v>
      </c>
      <c r="C10" s="61">
        <f>설정값!$D$72</f>
        <v>0</v>
      </c>
      <c r="D10" s="40">
        <f>대조선박_손익!$C$51/1000000</f>
        <v>0</v>
      </c>
      <c r="E10" s="40">
        <f t="shared" si="2"/>
        <v>0</v>
      </c>
      <c r="F10" s="40">
        <f t="shared" si="2"/>
        <v>0</v>
      </c>
      <c r="G10" s="40">
        <f t="shared" si="2"/>
        <v>0</v>
      </c>
      <c r="H10" s="40">
        <f t="shared" si="2"/>
        <v>0</v>
      </c>
      <c r="I10" s="40">
        <f t="shared" si="2"/>
        <v>0</v>
      </c>
      <c r="J10" s="40">
        <f t="shared" si="2"/>
        <v>0</v>
      </c>
      <c r="K10" s="40">
        <f t="shared" si="2"/>
        <v>0</v>
      </c>
      <c r="L10" s="40">
        <f t="shared" si="2"/>
        <v>0</v>
      </c>
      <c r="M10" s="40">
        <f t="shared" si="2"/>
        <v>0</v>
      </c>
      <c r="N10" s="40">
        <f t="shared" si="2"/>
        <v>0</v>
      </c>
      <c r="O10" s="121">
        <f t="shared" si="1"/>
        <v>0</v>
      </c>
      <c r="P10" s="12"/>
    </row>
    <row r="11" spans="2:16">
      <c r="B11" s="39" t="s">
        <v>618</v>
      </c>
      <c r="C11" s="61"/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  <c r="M11" s="40">
        <v>0</v>
      </c>
      <c r="N11" s="40">
        <v>0</v>
      </c>
      <c r="O11" s="121">
        <f t="shared" si="1"/>
        <v>0</v>
      </c>
      <c r="P11" s="12" t="s">
        <v>619</v>
      </c>
    </row>
    <row r="12" spans="2:16">
      <c r="B12" s="8" t="s">
        <v>499</v>
      </c>
      <c r="C12" s="81"/>
      <c r="D12" s="34">
        <f t="shared" ref="D12:N12" si="3">D13++D14++D15++D16++D17++D18++D19++D25</f>
        <v>19075.662287165243</v>
      </c>
      <c r="E12" s="34">
        <f t="shared" si="3"/>
        <v>19099.426887895112</v>
      </c>
      <c r="F12" s="34">
        <f t="shared" si="3"/>
        <v>19132.350792357924</v>
      </c>
      <c r="G12" s="34">
        <f t="shared" si="3"/>
        <v>19175.011216083505</v>
      </c>
      <c r="H12" s="34">
        <f t="shared" si="3"/>
        <v>19180.095645775898</v>
      </c>
      <c r="I12" s="34">
        <f t="shared" si="3"/>
        <v>19194.544876676398</v>
      </c>
      <c r="J12" s="34">
        <f t="shared" si="3"/>
        <v>19219.038793126863</v>
      </c>
      <c r="K12" s="34">
        <f t="shared" si="3"/>
        <v>19254.319573134271</v>
      </c>
      <c r="L12" s="34">
        <f t="shared" si="3"/>
        <v>19301.197849609918</v>
      </c>
      <c r="M12" s="34">
        <f t="shared" si="3"/>
        <v>19360.559547565685</v>
      </c>
      <c r="N12" s="34">
        <f t="shared" si="3"/>
        <v>19433.373479149301</v>
      </c>
      <c r="O12" s="123">
        <f t="shared" si="1"/>
        <v>19234.99186613749</v>
      </c>
      <c r="P12" s="12"/>
    </row>
    <row r="13" spans="2:16">
      <c r="B13" s="39" t="s">
        <v>500</v>
      </c>
      <c r="C13" s="61">
        <f>설정값!$D$73</f>
        <v>2.7099999999999999E-2</v>
      </c>
      <c r="D13" s="40">
        <f>대조선박_손익!$C$53/1000000</f>
        <v>1253.9880000000001</v>
      </c>
      <c r="E13" s="40">
        <f t="shared" ref="E13:N18" si="4">$D13*(1+$C13)^E$5</f>
        <v>1287.9710748</v>
      </c>
      <c r="F13" s="40">
        <f t="shared" si="4"/>
        <v>1322.8750909270798</v>
      </c>
      <c r="G13" s="40">
        <f t="shared" si="4"/>
        <v>1358.7250058912036</v>
      </c>
      <c r="H13" s="40">
        <f t="shared" si="4"/>
        <v>1395.5464535508549</v>
      </c>
      <c r="I13" s="40">
        <f t="shared" si="4"/>
        <v>1433.365762442083</v>
      </c>
      <c r="J13" s="40">
        <f t="shared" si="4"/>
        <v>1472.2099746042632</v>
      </c>
      <c r="K13" s="40">
        <f t="shared" si="4"/>
        <v>1512.1068649160386</v>
      </c>
      <c r="L13" s="40">
        <f t="shared" si="4"/>
        <v>1553.0849609552627</v>
      </c>
      <c r="M13" s="40">
        <f t="shared" si="4"/>
        <v>1595.1735633971502</v>
      </c>
      <c r="N13" s="40">
        <f t="shared" si="4"/>
        <v>1638.402766965213</v>
      </c>
      <c r="O13" s="121">
        <f t="shared" si="1"/>
        <v>1456.9461518449148</v>
      </c>
      <c r="P13" s="12"/>
    </row>
    <row r="14" spans="2:16">
      <c r="B14" s="39" t="s">
        <v>502</v>
      </c>
      <c r="C14" s="61">
        <f>설정값!$D$74</f>
        <v>2.7099999999999999E-2</v>
      </c>
      <c r="D14" s="40">
        <f>대조선박_손익!$C$54/1000000</f>
        <v>148.25200000000001</v>
      </c>
      <c r="E14" s="40">
        <f t="shared" si="4"/>
        <v>152.2696292</v>
      </c>
      <c r="F14" s="40">
        <f t="shared" si="4"/>
        <v>156.39613615131998</v>
      </c>
      <c r="G14" s="40">
        <f t="shared" si="4"/>
        <v>160.63447144102074</v>
      </c>
      <c r="H14" s="40">
        <f t="shared" si="4"/>
        <v>164.98766561707237</v>
      </c>
      <c r="I14" s="40">
        <f t="shared" si="4"/>
        <v>169.45883135529502</v>
      </c>
      <c r="J14" s="40">
        <f t="shared" si="4"/>
        <v>174.05116568502348</v>
      </c>
      <c r="K14" s="40">
        <f t="shared" si="4"/>
        <v>178.76795227508759</v>
      </c>
      <c r="L14" s="40">
        <f t="shared" si="4"/>
        <v>183.61256378174241</v>
      </c>
      <c r="M14" s="40">
        <f t="shared" si="4"/>
        <v>188.58846426022765</v>
      </c>
      <c r="N14" s="40">
        <f t="shared" si="4"/>
        <v>193.6992116416798</v>
      </c>
      <c r="O14" s="121">
        <f t="shared" si="1"/>
        <v>172.24660914084691</v>
      </c>
      <c r="P14" s="12"/>
    </row>
    <row r="15" spans="2:16">
      <c r="B15" s="39" t="s">
        <v>504</v>
      </c>
      <c r="C15" s="61">
        <f>설정값!$D$75</f>
        <v>2.4E-2</v>
      </c>
      <c r="D15" s="40">
        <f>대조선박_손익!$C$55/1000000</f>
        <v>267.351</v>
      </c>
      <c r="E15" s="40">
        <f t="shared" si="4"/>
        <v>273.76742400000001</v>
      </c>
      <c r="F15" s="40">
        <f t="shared" si="4"/>
        <v>280.33784217599998</v>
      </c>
      <c r="G15" s="40">
        <f t="shared" si="4"/>
        <v>287.065950388224</v>
      </c>
      <c r="H15" s="40">
        <f t="shared" si="4"/>
        <v>293.95553319754134</v>
      </c>
      <c r="I15" s="40">
        <f t="shared" si="4"/>
        <v>301.01046599428241</v>
      </c>
      <c r="J15" s="40">
        <f t="shared" si="4"/>
        <v>308.2347171781451</v>
      </c>
      <c r="K15" s="40">
        <f t="shared" si="4"/>
        <v>315.63235039042064</v>
      </c>
      <c r="L15" s="40">
        <f t="shared" si="4"/>
        <v>323.20752679979068</v>
      </c>
      <c r="M15" s="40">
        <f t="shared" si="4"/>
        <v>330.96450744298568</v>
      </c>
      <c r="N15" s="40">
        <f t="shared" si="4"/>
        <v>338.90765562161732</v>
      </c>
      <c r="O15" s="121">
        <f t="shared" si="1"/>
        <v>305.30839731890069</v>
      </c>
      <c r="P15" s="12"/>
    </row>
    <row r="16" spans="2:16">
      <c r="B16" s="39" t="s">
        <v>221</v>
      </c>
      <c r="C16" s="61">
        <f>설정값!$D$76</f>
        <v>0</v>
      </c>
      <c r="D16" s="40">
        <f>대조선박_손익!$C$56/1000000</f>
        <v>2250</v>
      </c>
      <c r="E16" s="40">
        <f t="shared" si="4"/>
        <v>2250</v>
      </c>
      <c r="F16" s="40">
        <f t="shared" si="4"/>
        <v>2250</v>
      </c>
      <c r="G16" s="40">
        <f t="shared" si="4"/>
        <v>2250</v>
      </c>
      <c r="H16" s="40">
        <f t="shared" si="4"/>
        <v>2250</v>
      </c>
      <c r="I16" s="40">
        <f t="shared" si="4"/>
        <v>2250</v>
      </c>
      <c r="J16" s="40">
        <f t="shared" si="4"/>
        <v>2250</v>
      </c>
      <c r="K16" s="40">
        <f t="shared" si="4"/>
        <v>2250</v>
      </c>
      <c r="L16" s="40">
        <f t="shared" si="4"/>
        <v>2250</v>
      </c>
      <c r="M16" s="40">
        <f t="shared" si="4"/>
        <v>2250</v>
      </c>
      <c r="N16" s="40">
        <f t="shared" si="4"/>
        <v>2250</v>
      </c>
      <c r="O16" s="121">
        <f t="shared" si="1"/>
        <v>2250</v>
      </c>
      <c r="P16" s="12"/>
    </row>
    <row r="17" spans="2:16">
      <c r="B17" s="39" t="s">
        <v>223</v>
      </c>
      <c r="C17" s="61">
        <f>설정값!$D$77</f>
        <v>2.92E-2</v>
      </c>
      <c r="D17" s="40">
        <f>대조선박_손익!$C$57/1000000</f>
        <v>48.281999999999996</v>
      </c>
      <c r="E17" s="40">
        <f t="shared" si="4"/>
        <v>49.691834399999991</v>
      </c>
      <c r="F17" s="40">
        <f t="shared" si="4"/>
        <v>51.142835964479985</v>
      </c>
      <c r="G17" s="40">
        <f t="shared" si="4"/>
        <v>52.636206774642794</v>
      </c>
      <c r="H17" s="40">
        <f t="shared" si="4"/>
        <v>54.17318401246235</v>
      </c>
      <c r="I17" s="40">
        <f t="shared" si="4"/>
        <v>55.755040985626252</v>
      </c>
      <c r="J17" s="40">
        <f t="shared" si="4"/>
        <v>57.383088182406524</v>
      </c>
      <c r="K17" s="40">
        <f t="shared" si="4"/>
        <v>59.058674357332791</v>
      </c>
      <c r="L17" s="40">
        <f t="shared" si="4"/>
        <v>60.783187648566887</v>
      </c>
      <c r="M17" s="40">
        <f t="shared" si="4"/>
        <v>62.558056727905033</v>
      </c>
      <c r="N17" s="40">
        <f t="shared" si="4"/>
        <v>64.384751984359866</v>
      </c>
      <c r="O17" s="121">
        <f t="shared" si="1"/>
        <v>56.75668610377825</v>
      </c>
      <c r="P17" s="12"/>
    </row>
    <row r="18" spans="2:16">
      <c r="B18" s="39" t="s">
        <v>224</v>
      </c>
      <c r="C18" s="61">
        <f>설정값!$D$78</f>
        <v>0</v>
      </c>
      <c r="D18" s="40">
        <f>대조선박_손익!$C$58/1000000</f>
        <v>30.928999999999998</v>
      </c>
      <c r="E18" s="40">
        <f t="shared" si="4"/>
        <v>30.928999999999998</v>
      </c>
      <c r="F18" s="40">
        <f t="shared" si="4"/>
        <v>30.928999999999998</v>
      </c>
      <c r="G18" s="40">
        <f t="shared" si="4"/>
        <v>30.928999999999998</v>
      </c>
      <c r="H18" s="40">
        <f t="shared" si="4"/>
        <v>30.928999999999998</v>
      </c>
      <c r="I18" s="40">
        <f t="shared" si="4"/>
        <v>30.928999999999998</v>
      </c>
      <c r="J18" s="40">
        <f t="shared" si="4"/>
        <v>30.928999999999998</v>
      </c>
      <c r="K18" s="40">
        <f t="shared" si="4"/>
        <v>30.928999999999998</v>
      </c>
      <c r="L18" s="40">
        <f t="shared" si="4"/>
        <v>30.928999999999998</v>
      </c>
      <c r="M18" s="40">
        <f t="shared" si="4"/>
        <v>30.928999999999998</v>
      </c>
      <c r="N18" s="40">
        <f t="shared" si="4"/>
        <v>30.928999999999998</v>
      </c>
      <c r="O18" s="121">
        <f t="shared" si="1"/>
        <v>30.928999999999995</v>
      </c>
      <c r="P18" s="12"/>
    </row>
    <row r="19" spans="2:16">
      <c r="B19" s="39" t="s">
        <v>620</v>
      </c>
      <c r="C19" s="61"/>
      <c r="D19" s="40">
        <f t="shared" ref="D19:N19" si="5">D20++D21++D22++D23++D24</f>
        <v>14376.860287165242</v>
      </c>
      <c r="E19" s="40">
        <f t="shared" si="5"/>
        <v>14354.797925495113</v>
      </c>
      <c r="F19" s="40">
        <f t="shared" si="5"/>
        <v>14340.669887139045</v>
      </c>
      <c r="G19" s="40">
        <f t="shared" si="5"/>
        <v>14335.020581588413</v>
      </c>
      <c r="H19" s="40">
        <f t="shared" si="5"/>
        <v>14338.44257388259</v>
      </c>
      <c r="I19" s="40">
        <f t="shared" si="5"/>
        <v>14351.581161625321</v>
      </c>
      <c r="J19" s="40">
        <f t="shared" si="5"/>
        <v>14375.139436188272</v>
      </c>
      <c r="K19" s="40">
        <f t="shared" si="5"/>
        <v>14409.883884996159</v>
      </c>
      <c r="L19" s="40">
        <f t="shared" si="5"/>
        <v>14456.650599092975</v>
      </c>
      <c r="M19" s="40">
        <f t="shared" si="5"/>
        <v>14516.352158493855</v>
      </c>
      <c r="N19" s="40">
        <f t="shared" si="5"/>
        <v>14589.985277273969</v>
      </c>
      <c r="O19" s="121">
        <f t="shared" si="1"/>
        <v>14406.852348577571</v>
      </c>
      <c r="P19" s="12" t="s">
        <v>621</v>
      </c>
    </row>
    <row r="20" spans="2:16">
      <c r="B20" s="69" t="s">
        <v>271</v>
      </c>
      <c r="C20" s="61">
        <f>설정값!$D$79</f>
        <v>-8.8999999999999999E-3</v>
      </c>
      <c r="D20" s="40">
        <f>대조선박_손익!$C$60/1000000</f>
        <v>12980.556335308731</v>
      </c>
      <c r="E20" s="40">
        <f t="shared" ref="E20:N24" si="6">$D20*(1+$C20)^E$5</f>
        <v>12865.029383924482</v>
      </c>
      <c r="F20" s="40">
        <f t="shared" si="6"/>
        <v>12750.530622407554</v>
      </c>
      <c r="G20" s="40">
        <f t="shared" si="6"/>
        <v>12637.050899868127</v>
      </c>
      <c r="H20" s="40">
        <f t="shared" si="6"/>
        <v>12524.5811468593</v>
      </c>
      <c r="I20" s="40">
        <f t="shared" si="6"/>
        <v>12413.112374652253</v>
      </c>
      <c r="J20" s="40">
        <f t="shared" si="6"/>
        <v>12302.635674517847</v>
      </c>
      <c r="K20" s="40">
        <f t="shared" si="6"/>
        <v>12193.142217014638</v>
      </c>
      <c r="L20" s="40">
        <f t="shared" si="6"/>
        <v>12084.623251283207</v>
      </c>
      <c r="M20" s="40">
        <f t="shared" si="6"/>
        <v>11977.070104346787</v>
      </c>
      <c r="N20" s="40">
        <f t="shared" si="6"/>
        <v>11870.474180418101</v>
      </c>
      <c r="O20" s="121">
        <f t="shared" si="1"/>
        <v>12361.824985529229</v>
      </c>
      <c r="P20" s="10" t="s">
        <v>622</v>
      </c>
    </row>
    <row r="21" spans="2:16">
      <c r="B21" s="69" t="s">
        <v>273</v>
      </c>
      <c r="C21" s="61">
        <f>설정값!$D$80</f>
        <v>7.85E-2</v>
      </c>
      <c r="D21" s="40">
        <f>대조선박_손익!$C$61/1000000</f>
        <v>931.15642933799415</v>
      </c>
      <c r="E21" s="40">
        <f t="shared" si="6"/>
        <v>1004.2522090410267</v>
      </c>
      <c r="F21" s="40">
        <f t="shared" si="6"/>
        <v>1083.0860074507473</v>
      </c>
      <c r="G21" s="40">
        <f t="shared" si="6"/>
        <v>1168.1082590356309</v>
      </c>
      <c r="H21" s="40">
        <f t="shared" si="6"/>
        <v>1259.8047573699282</v>
      </c>
      <c r="I21" s="40">
        <f t="shared" si="6"/>
        <v>1358.6994308234675</v>
      </c>
      <c r="J21" s="40">
        <f t="shared" si="6"/>
        <v>1465.3573361431097</v>
      </c>
      <c r="K21" s="40">
        <f t="shared" si="6"/>
        <v>1580.3878870303438</v>
      </c>
      <c r="L21" s="40">
        <f t="shared" si="6"/>
        <v>1704.448336162226</v>
      </c>
      <c r="M21" s="40">
        <f t="shared" si="6"/>
        <v>1838.2475305509606</v>
      </c>
      <c r="N21" s="40">
        <f t="shared" si="6"/>
        <v>1982.5499616992113</v>
      </c>
      <c r="O21" s="121">
        <f t="shared" si="1"/>
        <v>1444.4941715306652</v>
      </c>
      <c r="P21" s="12"/>
    </row>
    <row r="22" spans="2:16">
      <c r="B22" s="69" t="s">
        <v>275</v>
      </c>
      <c r="C22" s="61">
        <f>설정값!$D$81</f>
        <v>3.8199999999999998E-2</v>
      </c>
      <c r="D22" s="40">
        <f>대조선박_손익!$C$62/1000000</f>
        <v>441.89014639259108</v>
      </c>
      <c r="E22" s="40">
        <f t="shared" si="6"/>
        <v>458.77034998478808</v>
      </c>
      <c r="F22" s="40">
        <f t="shared" si="6"/>
        <v>476.29537735420695</v>
      </c>
      <c r="G22" s="40">
        <f t="shared" si="6"/>
        <v>494.48986076913769</v>
      </c>
      <c r="H22" s="40">
        <f t="shared" si="6"/>
        <v>513.37937345051864</v>
      </c>
      <c r="I22" s="40">
        <f t="shared" si="6"/>
        <v>532.99046551632853</v>
      </c>
      <c r="J22" s="40">
        <f t="shared" si="6"/>
        <v>553.35070129905228</v>
      </c>
      <c r="K22" s="40">
        <f t="shared" si="6"/>
        <v>574.48869808867607</v>
      </c>
      <c r="L22" s="40">
        <f t="shared" si="6"/>
        <v>596.43416635566348</v>
      </c>
      <c r="M22" s="40">
        <f t="shared" si="6"/>
        <v>619.21795151044978</v>
      </c>
      <c r="N22" s="40">
        <f t="shared" si="6"/>
        <v>642.87207725814892</v>
      </c>
      <c r="O22" s="121">
        <f t="shared" si="1"/>
        <v>546.228902158697</v>
      </c>
      <c r="P22" s="12"/>
    </row>
    <row r="23" spans="2:16">
      <c r="B23" s="69" t="s">
        <v>276</v>
      </c>
      <c r="C23" s="61">
        <f>설정값!$D$82</f>
        <v>0</v>
      </c>
      <c r="D23" s="40">
        <f>대조선박_손익!$C$63/1000000</f>
        <v>0</v>
      </c>
      <c r="E23" s="40">
        <f t="shared" si="6"/>
        <v>0</v>
      </c>
      <c r="F23" s="40">
        <f t="shared" si="6"/>
        <v>0</v>
      </c>
      <c r="G23" s="40">
        <f t="shared" si="6"/>
        <v>0</v>
      </c>
      <c r="H23" s="40">
        <f t="shared" si="6"/>
        <v>0</v>
      </c>
      <c r="I23" s="40">
        <f t="shared" si="6"/>
        <v>0</v>
      </c>
      <c r="J23" s="40">
        <f t="shared" si="6"/>
        <v>0</v>
      </c>
      <c r="K23" s="40">
        <f t="shared" si="6"/>
        <v>0</v>
      </c>
      <c r="L23" s="40">
        <f t="shared" si="6"/>
        <v>0</v>
      </c>
      <c r="M23" s="40">
        <f t="shared" si="6"/>
        <v>0</v>
      </c>
      <c r="N23" s="40">
        <f t="shared" si="6"/>
        <v>0</v>
      </c>
      <c r="O23" s="121">
        <f t="shared" si="1"/>
        <v>0</v>
      </c>
      <c r="P23" s="12"/>
    </row>
    <row r="24" spans="2:16">
      <c r="B24" s="69" t="s">
        <v>277</v>
      </c>
      <c r="C24" s="61">
        <f>설정값!$D$83</f>
        <v>0.15</v>
      </c>
      <c r="D24" s="40">
        <f>대조선박_손익!$C$64/1000000</f>
        <v>23.257376125925852</v>
      </c>
      <c r="E24" s="40">
        <f t="shared" si="6"/>
        <v>26.745982544814726</v>
      </c>
      <c r="F24" s="40">
        <f t="shared" si="6"/>
        <v>30.757879926536933</v>
      </c>
      <c r="G24" s="40">
        <f t="shared" si="6"/>
        <v>35.371561915517468</v>
      </c>
      <c r="H24" s="40">
        <f t="shared" si="6"/>
        <v>40.677296202845092</v>
      </c>
      <c r="I24" s="40">
        <f t="shared" si="6"/>
        <v>46.77889063327185</v>
      </c>
      <c r="J24" s="40">
        <f t="shared" si="6"/>
        <v>53.795724228262628</v>
      </c>
      <c r="K24" s="40">
        <f t="shared" si="6"/>
        <v>61.865082862502007</v>
      </c>
      <c r="L24" s="40">
        <f t="shared" si="6"/>
        <v>71.144845291877303</v>
      </c>
      <c r="M24" s="40">
        <f t="shared" si="6"/>
        <v>81.816572085658891</v>
      </c>
      <c r="N24" s="40">
        <f t="shared" si="6"/>
        <v>94.089057898507718</v>
      </c>
      <c r="O24" s="121">
        <f t="shared" si="1"/>
        <v>54.30428935897946</v>
      </c>
      <c r="P24" s="12"/>
    </row>
    <row r="25" spans="2:16">
      <c r="B25" s="39" t="s">
        <v>623</v>
      </c>
      <c r="C25" s="61"/>
      <c r="D25" s="40">
        <f>차입금_상환!$E$20/1000000</f>
        <v>700.00000000000011</v>
      </c>
      <c r="E25" s="40">
        <f>차입금_상환!$E$21/1000000</f>
        <v>700.00000000000011</v>
      </c>
      <c r="F25" s="40">
        <f>차입금_상환!$E$22/1000000</f>
        <v>700.00000000000011</v>
      </c>
      <c r="G25" s="40">
        <f>차입금_상환!$E$23/1000000</f>
        <v>700.00000000000011</v>
      </c>
      <c r="H25" s="40">
        <f>차입금_상환!$E$24/1000000</f>
        <v>652.06123551537632</v>
      </c>
      <c r="I25" s="40">
        <f>차입금_상환!$E$25/1000000</f>
        <v>602.44461427379088</v>
      </c>
      <c r="J25" s="40">
        <f>차입금_상환!$E$26/1000000</f>
        <v>551.09141128874978</v>
      </c>
      <c r="K25" s="40">
        <f>차입금_상환!$E$27/1000000</f>
        <v>497.9408461992324</v>
      </c>
      <c r="L25" s="40">
        <f>차입금_상환!$E$28/1000000</f>
        <v>442.93001133158191</v>
      </c>
      <c r="M25" s="40">
        <f>차입금_상환!$E$29/1000000</f>
        <v>385.99379724356351</v>
      </c>
      <c r="N25" s="40">
        <f>차입금_상환!$E$30/1000000</f>
        <v>327.06481566246464</v>
      </c>
      <c r="O25" s="121">
        <f t="shared" si="1"/>
        <v>555.95267315147601</v>
      </c>
      <c r="P25" s="12" t="s">
        <v>624</v>
      </c>
    </row>
    <row r="26" spans="2:16">
      <c r="B26" s="8" t="s">
        <v>509</v>
      </c>
      <c r="C26" s="81"/>
      <c r="D26" s="34">
        <f t="shared" ref="D26:N26" si="7">D7+-D12</f>
        <v>3924.6153128347578</v>
      </c>
      <c r="E26" s="34">
        <f t="shared" si="7"/>
        <v>4511.1997089048891</v>
      </c>
      <c r="F26" s="34">
        <f t="shared" si="7"/>
        <v>5104.9123711844695</v>
      </c>
      <c r="G26" s="34">
        <f t="shared" si="7"/>
        <v>5705.612395178654</v>
      </c>
      <c r="H26" s="34">
        <f t="shared" si="7"/>
        <v>6361.0603234559276</v>
      </c>
      <c r="I26" s="34">
        <f t="shared" si="7"/>
        <v>7024.7754235586581</v>
      </c>
      <c r="J26" s="34">
        <f t="shared" si="7"/>
        <v>7696.5502312055214</v>
      </c>
      <c r="K26" s="34">
        <f t="shared" si="7"/>
        <v>8376.1276782139103</v>
      </c>
      <c r="L26" s="34">
        <f t="shared" si="7"/>
        <v>9063.1952727039388</v>
      </c>
      <c r="M26" s="34">
        <f t="shared" si="7"/>
        <v>9757.3786125431543</v>
      </c>
      <c r="N26" s="34">
        <f t="shared" si="7"/>
        <v>10458.23415039785</v>
      </c>
      <c r="O26" s="123">
        <f t="shared" si="1"/>
        <v>7405.9046167346969</v>
      </c>
      <c r="P26" s="12"/>
    </row>
    <row r="27" spans="2:16">
      <c r="B27" s="8" t="s">
        <v>510</v>
      </c>
      <c r="C27" s="81"/>
      <c r="D27" s="34">
        <f t="shared" ref="D27:N27" si="8">D28++D29++D30++D31++D32++D33</f>
        <v>3121.0125118145647</v>
      </c>
      <c r="E27" s="34">
        <f t="shared" si="8"/>
        <v>3266.2223472606252</v>
      </c>
      <c r="F27" s="34">
        <f t="shared" si="8"/>
        <v>3418.8926235260133</v>
      </c>
      <c r="G27" s="34">
        <f t="shared" si="8"/>
        <v>3579.4276404193874</v>
      </c>
      <c r="H27" s="34">
        <f t="shared" si="8"/>
        <v>3748.2541784166815</v>
      </c>
      <c r="I27" s="34">
        <f t="shared" si="8"/>
        <v>3925.8227634631203</v>
      </c>
      <c r="J27" s="34">
        <f t="shared" si="8"/>
        <v>4112.6090033111404</v>
      </c>
      <c r="K27" s="34">
        <f t="shared" si="8"/>
        <v>4309.11499944967</v>
      </c>
      <c r="L27" s="34">
        <f t="shared" si="8"/>
        <v>4515.870838910474</v>
      </c>
      <c r="M27" s="34">
        <f t="shared" si="8"/>
        <v>4733.4361704803978</v>
      </c>
      <c r="N27" s="34">
        <f t="shared" si="8"/>
        <v>4962.4018701054556</v>
      </c>
      <c r="O27" s="123">
        <f t="shared" si="1"/>
        <v>4057.2052435342966</v>
      </c>
      <c r="P27" s="12"/>
    </row>
    <row r="28" spans="2:16">
      <c r="B28" s="39" t="s">
        <v>511</v>
      </c>
      <c r="C28" s="61">
        <f>설정값!$D$84</f>
        <v>5.6800000000000003E-2</v>
      </c>
      <c r="D28" s="40">
        <f>대조선박_손익!$C$67/1000000</f>
        <v>1822.8786500000001</v>
      </c>
      <c r="E28" s="40">
        <f t="shared" ref="E28:N32" si="9">$D28*(1+$C28)^E$5</f>
        <v>1926.4181573200001</v>
      </c>
      <c r="F28" s="40">
        <f t="shared" si="9"/>
        <v>2035.8387086557761</v>
      </c>
      <c r="G28" s="40">
        <f t="shared" si="9"/>
        <v>2151.4743473074241</v>
      </c>
      <c r="H28" s="40">
        <f t="shared" si="9"/>
        <v>2273.6780902344858</v>
      </c>
      <c r="I28" s="40">
        <f t="shared" si="9"/>
        <v>2402.8230057598043</v>
      </c>
      <c r="J28" s="40">
        <f t="shared" si="9"/>
        <v>2539.3033524869616</v>
      </c>
      <c r="K28" s="40">
        <f t="shared" si="9"/>
        <v>2683.5357829082209</v>
      </c>
      <c r="L28" s="40">
        <f t="shared" si="9"/>
        <v>2835.960615377408</v>
      </c>
      <c r="M28" s="40">
        <f t="shared" si="9"/>
        <v>2997.043178330845</v>
      </c>
      <c r="N28" s="40">
        <f t="shared" si="9"/>
        <v>3167.2752308600366</v>
      </c>
      <c r="O28" s="121">
        <f t="shared" si="1"/>
        <v>2501.3350469240963</v>
      </c>
      <c r="P28" s="12"/>
    </row>
    <row r="29" spans="2:16">
      <c r="B29" s="39" t="s">
        <v>513</v>
      </c>
      <c r="C29" s="61">
        <f>설정값!$D$84</f>
        <v>5.6800000000000003E-2</v>
      </c>
      <c r="D29" s="40">
        <f>대조선박_손익!$C$68/1000000</f>
        <v>152.42019300000001</v>
      </c>
      <c r="E29" s="40">
        <f t="shared" si="9"/>
        <v>161.07765996240002</v>
      </c>
      <c r="F29" s="40">
        <f t="shared" si="9"/>
        <v>170.22687104826434</v>
      </c>
      <c r="G29" s="40">
        <f t="shared" si="9"/>
        <v>179.89575732380573</v>
      </c>
      <c r="H29" s="40">
        <f t="shared" si="9"/>
        <v>190.1138363397979</v>
      </c>
      <c r="I29" s="40">
        <f t="shared" si="9"/>
        <v>200.91230224389841</v>
      </c>
      <c r="J29" s="40">
        <f t="shared" si="9"/>
        <v>212.32412101135185</v>
      </c>
      <c r="K29" s="40">
        <f t="shared" si="9"/>
        <v>224.38413108479662</v>
      </c>
      <c r="L29" s="40">
        <f t="shared" si="9"/>
        <v>237.1291497304131</v>
      </c>
      <c r="M29" s="40">
        <f t="shared" si="9"/>
        <v>250.59808543510056</v>
      </c>
      <c r="N29" s="40">
        <f t="shared" si="9"/>
        <v>264.83205668781426</v>
      </c>
      <c r="O29" s="121">
        <f t="shared" si="1"/>
        <v>209.14939708676428</v>
      </c>
      <c r="P29" s="12"/>
    </row>
    <row r="30" spans="2:16">
      <c r="B30" s="39" t="s">
        <v>514</v>
      </c>
      <c r="C30" s="61">
        <f>설정값!$D$84</f>
        <v>5.6800000000000003E-2</v>
      </c>
      <c r="D30" s="40">
        <f>대조선박_손익!$C$69/1000000</f>
        <v>147.55340699999999</v>
      </c>
      <c r="E30" s="40">
        <f t="shared" si="9"/>
        <v>155.9344405176</v>
      </c>
      <c r="F30" s="40">
        <f t="shared" si="9"/>
        <v>164.79151673899966</v>
      </c>
      <c r="G30" s="40">
        <f t="shared" si="9"/>
        <v>174.15167488977482</v>
      </c>
      <c r="H30" s="40">
        <f t="shared" si="9"/>
        <v>184.04349002351407</v>
      </c>
      <c r="I30" s="40">
        <f t="shared" si="9"/>
        <v>194.49716025684964</v>
      </c>
      <c r="J30" s="40">
        <f t="shared" si="9"/>
        <v>205.54459895943873</v>
      </c>
      <c r="K30" s="40">
        <f t="shared" si="9"/>
        <v>217.21953218033482</v>
      </c>
      <c r="L30" s="40">
        <f t="shared" si="9"/>
        <v>229.55760160817786</v>
      </c>
      <c r="M30" s="40">
        <f t="shared" si="9"/>
        <v>242.59647337952237</v>
      </c>
      <c r="N30" s="40">
        <f t="shared" si="9"/>
        <v>256.3759530674792</v>
      </c>
      <c r="O30" s="121">
        <f t="shared" si="1"/>
        <v>202.47124416216914</v>
      </c>
      <c r="P30" s="12"/>
    </row>
    <row r="31" spans="2:16">
      <c r="B31" s="39" t="s">
        <v>223</v>
      </c>
      <c r="C31" s="61">
        <f>설정값!$D$85</f>
        <v>2.92E-2</v>
      </c>
      <c r="D31" s="40">
        <f>대조선박_손익!$C$70/1000000</f>
        <v>62.971499999999999</v>
      </c>
      <c r="E31" s="40">
        <f t="shared" si="9"/>
        <v>64.810267799999991</v>
      </c>
      <c r="F31" s="40">
        <f t="shared" si="9"/>
        <v>66.702727619759983</v>
      </c>
      <c r="G31" s="40">
        <f t="shared" si="9"/>
        <v>68.650447266256975</v>
      </c>
      <c r="H31" s="40">
        <f t="shared" si="9"/>
        <v>70.65504032643166</v>
      </c>
      <c r="I31" s="40">
        <f t="shared" si="9"/>
        <v>72.718167503963457</v>
      </c>
      <c r="J31" s="40">
        <f t="shared" si="9"/>
        <v>74.841537995079179</v>
      </c>
      <c r="K31" s="40">
        <f t="shared" si="9"/>
        <v>77.026910904535484</v>
      </c>
      <c r="L31" s="40">
        <f t="shared" si="9"/>
        <v>79.276096702947896</v>
      </c>
      <c r="M31" s="40">
        <f t="shared" si="9"/>
        <v>81.590958726673961</v>
      </c>
      <c r="N31" s="40">
        <f t="shared" si="9"/>
        <v>83.97341472149283</v>
      </c>
      <c r="O31" s="121">
        <f t="shared" si="1"/>
        <v>74.02455695671415</v>
      </c>
      <c r="P31" s="12"/>
    </row>
    <row r="32" spans="2:16">
      <c r="B32" s="39" t="s">
        <v>153</v>
      </c>
      <c r="C32" s="61">
        <f>설정값!$D$86</f>
        <v>2.3400000000000001E-2</v>
      </c>
      <c r="D32" s="40">
        <f>대조선박_손익!$C$71/1000000</f>
        <v>682.51020081456431</v>
      </c>
      <c r="E32" s="40">
        <f t="shared" si="9"/>
        <v>698.48093951362523</v>
      </c>
      <c r="F32" s="40">
        <f t="shared" si="9"/>
        <v>714.82539349824401</v>
      </c>
      <c r="G32" s="40">
        <f t="shared" si="9"/>
        <v>731.55230770610308</v>
      </c>
      <c r="H32" s="40">
        <f t="shared" si="9"/>
        <v>748.67063170642587</v>
      </c>
      <c r="I32" s="40">
        <f t="shared" si="9"/>
        <v>766.18952448835637</v>
      </c>
      <c r="J32" s="40">
        <f t="shared" si="9"/>
        <v>784.11835936138391</v>
      </c>
      <c r="K32" s="40">
        <f t="shared" si="9"/>
        <v>802.46672897044027</v>
      </c>
      <c r="L32" s="40">
        <f t="shared" si="9"/>
        <v>821.24445042834873</v>
      </c>
      <c r="M32" s="40">
        <f t="shared" si="9"/>
        <v>840.46157056837217</v>
      </c>
      <c r="N32" s="40">
        <f t="shared" si="9"/>
        <v>860.12837131967217</v>
      </c>
      <c r="O32" s="121">
        <f t="shared" si="1"/>
        <v>776.81382775609711</v>
      </c>
      <c r="P32" s="12"/>
    </row>
    <row r="33" spans="2:16">
      <c r="B33" s="39" t="s">
        <v>228</v>
      </c>
      <c r="C33" s="61"/>
      <c r="D33" s="40">
        <f t="shared" ref="D33:N33" si="10">D34++D35++D36++D37++D38++D39++D40++D41++D42++D43++D44++D45++D46++D47</f>
        <v>252.678561</v>
      </c>
      <c r="E33" s="40">
        <f t="shared" si="10"/>
        <v>259.50088214699997</v>
      </c>
      <c r="F33" s="40">
        <f t="shared" si="10"/>
        <v>266.50740596496894</v>
      </c>
      <c r="G33" s="40">
        <f t="shared" si="10"/>
        <v>273.70310592602311</v>
      </c>
      <c r="H33" s="40">
        <f t="shared" si="10"/>
        <v>281.0930897860257</v>
      </c>
      <c r="I33" s="40">
        <f t="shared" si="10"/>
        <v>288.68260321024832</v>
      </c>
      <c r="J33" s="40">
        <f t="shared" si="10"/>
        <v>296.47703349692506</v>
      </c>
      <c r="K33" s="40">
        <f t="shared" si="10"/>
        <v>304.48191340134196</v>
      </c>
      <c r="L33" s="40">
        <f t="shared" si="10"/>
        <v>312.70292506317816</v>
      </c>
      <c r="M33" s="40">
        <f t="shared" si="10"/>
        <v>321.14590403988393</v>
      </c>
      <c r="N33" s="40">
        <f t="shared" si="10"/>
        <v>329.81684344896075</v>
      </c>
      <c r="O33" s="121">
        <f t="shared" si="1"/>
        <v>293.4111706484556</v>
      </c>
      <c r="P33" s="12"/>
    </row>
    <row r="34" spans="2:16">
      <c r="B34" s="69" t="s">
        <v>518</v>
      </c>
      <c r="C34" s="61">
        <f>설정값!$D$87</f>
        <v>2.7E-2</v>
      </c>
      <c r="D34" s="40">
        <f>대조선박_손익!$C$73/1000000</f>
        <v>9.2465620000000008</v>
      </c>
      <c r="E34" s="40">
        <f t="shared" ref="E34:N47" si="11">$D34*(1+$C34)^E$5</f>
        <v>9.4962191740000002</v>
      </c>
      <c r="F34" s="40">
        <f t="shared" si="11"/>
        <v>9.7526170916979993</v>
      </c>
      <c r="G34" s="40">
        <f t="shared" si="11"/>
        <v>10.015937753173844</v>
      </c>
      <c r="H34" s="40">
        <f t="shared" si="11"/>
        <v>10.286368072509537</v>
      </c>
      <c r="I34" s="40">
        <f t="shared" si="11"/>
        <v>10.564100010467294</v>
      </c>
      <c r="J34" s="40">
        <f t="shared" si="11"/>
        <v>10.849330710749909</v>
      </c>
      <c r="K34" s="40">
        <f t="shared" si="11"/>
        <v>11.142262639940157</v>
      </c>
      <c r="L34" s="40">
        <f t="shared" si="11"/>
        <v>11.443103731218539</v>
      </c>
      <c r="M34" s="40">
        <f t="shared" si="11"/>
        <v>11.752067531961437</v>
      </c>
      <c r="N34" s="40">
        <f t="shared" si="11"/>
        <v>12.069373355324396</v>
      </c>
      <c r="O34" s="121">
        <f t="shared" si="1"/>
        <v>10.737138007104313</v>
      </c>
      <c r="P34" s="12"/>
    </row>
    <row r="35" spans="2:16">
      <c r="B35" s="69" t="s">
        <v>519</v>
      </c>
      <c r="C35" s="61">
        <f>설정값!$D$87</f>
        <v>2.7E-2</v>
      </c>
      <c r="D35" s="40">
        <f>대조선박_손익!$C$74/1000000</f>
        <v>8.8019999999999996</v>
      </c>
      <c r="E35" s="40">
        <f t="shared" si="11"/>
        <v>9.0396539999999987</v>
      </c>
      <c r="F35" s="40">
        <f t="shared" si="11"/>
        <v>9.283724657999997</v>
      </c>
      <c r="G35" s="40">
        <f t="shared" si="11"/>
        <v>9.5343852237659981</v>
      </c>
      <c r="H35" s="40">
        <f t="shared" si="11"/>
        <v>9.7918136248076788</v>
      </c>
      <c r="I35" s="40">
        <f t="shared" si="11"/>
        <v>10.056192592677485</v>
      </c>
      <c r="J35" s="40">
        <f t="shared" si="11"/>
        <v>10.327709792679775</v>
      </c>
      <c r="K35" s="40">
        <f t="shared" si="11"/>
        <v>10.606557957082128</v>
      </c>
      <c r="L35" s="40">
        <f t="shared" si="11"/>
        <v>10.892935021923345</v>
      </c>
      <c r="M35" s="40">
        <f t="shared" si="11"/>
        <v>11.187044267515274</v>
      </c>
      <c r="N35" s="40">
        <f t="shared" si="11"/>
        <v>11.489094462738185</v>
      </c>
      <c r="O35" s="121">
        <f t="shared" si="1"/>
        <v>10.220911160118986</v>
      </c>
      <c r="P35" s="12"/>
    </row>
    <row r="36" spans="2:16">
      <c r="B36" s="69" t="s">
        <v>520</v>
      </c>
      <c r="C36" s="61">
        <f>설정값!$D$87</f>
        <v>2.7E-2</v>
      </c>
      <c r="D36" s="40">
        <f>대조선박_손익!$C$75/1000000</f>
        <v>9.3644689999999997</v>
      </c>
      <c r="E36" s="40">
        <f t="shared" si="11"/>
        <v>9.6173096629999986</v>
      </c>
      <c r="F36" s="40">
        <f t="shared" si="11"/>
        <v>9.8769770239009986</v>
      </c>
      <c r="G36" s="40">
        <f t="shared" si="11"/>
        <v>10.143655403546324</v>
      </c>
      <c r="H36" s="40">
        <f t="shared" si="11"/>
        <v>10.417534099442074</v>
      </c>
      <c r="I36" s="40">
        <f t="shared" si="11"/>
        <v>10.698807520127009</v>
      </c>
      <c r="J36" s="40">
        <f t="shared" si="11"/>
        <v>10.987675323170437</v>
      </c>
      <c r="K36" s="40">
        <f t="shared" si="11"/>
        <v>11.284342556896037</v>
      </c>
      <c r="L36" s="40">
        <f t="shared" si="11"/>
        <v>11.58901980593223</v>
      </c>
      <c r="M36" s="40">
        <f t="shared" si="11"/>
        <v>11.901923340692397</v>
      </c>
      <c r="N36" s="40">
        <f t="shared" si="11"/>
        <v>12.223275270891092</v>
      </c>
      <c r="O36" s="121">
        <f t="shared" si="1"/>
        <v>10.874052000759859</v>
      </c>
      <c r="P36" s="12"/>
    </row>
    <row r="37" spans="2:16">
      <c r="B37" s="69" t="s">
        <v>521</v>
      </c>
      <c r="C37" s="61">
        <f>설정값!$D$87</f>
        <v>2.7E-2</v>
      </c>
      <c r="D37" s="40">
        <f>대조선박_손익!$C$76/1000000</f>
        <v>16.446116</v>
      </c>
      <c r="E37" s="40">
        <f t="shared" si="11"/>
        <v>16.890161131999999</v>
      </c>
      <c r="F37" s="40">
        <f t="shared" si="11"/>
        <v>17.346195482563996</v>
      </c>
      <c r="G37" s="40">
        <f t="shared" si="11"/>
        <v>17.814542760593223</v>
      </c>
      <c r="H37" s="40">
        <f t="shared" si="11"/>
        <v>18.295535415129237</v>
      </c>
      <c r="I37" s="40">
        <f t="shared" si="11"/>
        <v>18.789514871337726</v>
      </c>
      <c r="J37" s="40">
        <f t="shared" si="11"/>
        <v>19.296831772863843</v>
      </c>
      <c r="K37" s="40">
        <f t="shared" si="11"/>
        <v>19.817846230731163</v>
      </c>
      <c r="L37" s="40">
        <f t="shared" si="11"/>
        <v>20.352928078960904</v>
      </c>
      <c r="M37" s="40">
        <f t="shared" si="11"/>
        <v>20.902457137092846</v>
      </c>
      <c r="N37" s="40">
        <f t="shared" si="11"/>
        <v>21.46682347979435</v>
      </c>
      <c r="O37" s="121">
        <f t="shared" si="1"/>
        <v>19.097283636106731</v>
      </c>
      <c r="P37" s="12"/>
    </row>
    <row r="38" spans="2:16">
      <c r="B38" s="69" t="s">
        <v>522</v>
      </c>
      <c r="C38" s="61">
        <f>설정값!$D$87</f>
        <v>2.7E-2</v>
      </c>
      <c r="D38" s="40">
        <f>대조선박_손익!$C$77/1000000</f>
        <v>74.136257000000001</v>
      </c>
      <c r="E38" s="40">
        <f t="shared" si="11"/>
        <v>76.137935938999988</v>
      </c>
      <c r="F38" s="40">
        <f t="shared" si="11"/>
        <v>78.193660209352984</v>
      </c>
      <c r="G38" s="40">
        <f t="shared" si="11"/>
        <v>80.304889035005516</v>
      </c>
      <c r="H38" s="40">
        <f t="shared" si="11"/>
        <v>82.473121038950651</v>
      </c>
      <c r="I38" s="40">
        <f t="shared" si="11"/>
        <v>84.699895307002308</v>
      </c>
      <c r="J38" s="40">
        <f t="shared" si="11"/>
        <v>86.986792480291356</v>
      </c>
      <c r="K38" s="40">
        <f t="shared" si="11"/>
        <v>89.335435877259229</v>
      </c>
      <c r="L38" s="40">
        <f t="shared" si="11"/>
        <v>91.747492645945215</v>
      </c>
      <c r="M38" s="40">
        <f t="shared" si="11"/>
        <v>94.224674947385722</v>
      </c>
      <c r="N38" s="40">
        <f t="shared" si="11"/>
        <v>96.768741170965129</v>
      </c>
      <c r="O38" s="121">
        <f t="shared" si="1"/>
        <v>86.087263865115801</v>
      </c>
      <c r="P38" s="12"/>
    </row>
    <row r="39" spans="2:16">
      <c r="B39" s="69" t="s">
        <v>523</v>
      </c>
      <c r="C39" s="61">
        <f>설정값!$D$87</f>
        <v>2.7E-2</v>
      </c>
      <c r="D39" s="40">
        <f>대조선박_손익!$C$78/1000000</f>
        <v>0</v>
      </c>
      <c r="E39" s="40">
        <f t="shared" si="11"/>
        <v>0</v>
      </c>
      <c r="F39" s="40">
        <f t="shared" si="11"/>
        <v>0</v>
      </c>
      <c r="G39" s="40">
        <f t="shared" si="11"/>
        <v>0</v>
      </c>
      <c r="H39" s="40">
        <f t="shared" si="11"/>
        <v>0</v>
      </c>
      <c r="I39" s="40">
        <f t="shared" si="11"/>
        <v>0</v>
      </c>
      <c r="J39" s="40">
        <f t="shared" si="11"/>
        <v>0</v>
      </c>
      <c r="K39" s="40">
        <f t="shared" si="11"/>
        <v>0</v>
      </c>
      <c r="L39" s="40">
        <f t="shared" si="11"/>
        <v>0</v>
      </c>
      <c r="M39" s="40">
        <f t="shared" si="11"/>
        <v>0</v>
      </c>
      <c r="N39" s="40">
        <f t="shared" si="11"/>
        <v>0</v>
      </c>
      <c r="O39" s="121">
        <f t="shared" si="1"/>
        <v>0</v>
      </c>
      <c r="P39" s="12"/>
    </row>
    <row r="40" spans="2:16">
      <c r="B40" s="69" t="s">
        <v>275</v>
      </c>
      <c r="C40" s="61">
        <f>설정값!$D$87</f>
        <v>2.7E-2</v>
      </c>
      <c r="D40" s="40">
        <f>대조선박_손익!$C$79/1000000</f>
        <v>7.3597669999999997</v>
      </c>
      <c r="E40" s="40">
        <f t="shared" si="11"/>
        <v>7.5584807089999995</v>
      </c>
      <c r="F40" s="40">
        <f t="shared" si="11"/>
        <v>7.7625596881429981</v>
      </c>
      <c r="G40" s="40">
        <f t="shared" si="11"/>
        <v>7.9721487997228593</v>
      </c>
      <c r="H40" s="40">
        <f t="shared" si="11"/>
        <v>8.1873968173153742</v>
      </c>
      <c r="I40" s="40">
        <f t="shared" si="11"/>
        <v>8.408456531382889</v>
      </c>
      <c r="J40" s="40">
        <f t="shared" si="11"/>
        <v>8.6354848577302263</v>
      </c>
      <c r="K40" s="40">
        <f t="shared" si="11"/>
        <v>8.868642948888942</v>
      </c>
      <c r="L40" s="40">
        <f t="shared" si="11"/>
        <v>9.1080963085089426</v>
      </c>
      <c r="M40" s="40">
        <f t="shared" si="11"/>
        <v>9.3540149088386819</v>
      </c>
      <c r="N40" s="40">
        <f t="shared" si="11"/>
        <v>9.6065733113773266</v>
      </c>
      <c r="O40" s="121">
        <f t="shared" si="1"/>
        <v>8.5461854880908241</v>
      </c>
      <c r="P40" s="12"/>
    </row>
    <row r="41" spans="2:16">
      <c r="B41" s="69" t="s">
        <v>524</v>
      </c>
      <c r="C41" s="61">
        <f>설정값!$D$87</f>
        <v>2.7E-2</v>
      </c>
      <c r="D41" s="40">
        <f>대조선박_손익!$C$80/1000000</f>
        <v>0.50900000000000001</v>
      </c>
      <c r="E41" s="40">
        <f t="shared" si="11"/>
        <v>0.52274299999999996</v>
      </c>
      <c r="F41" s="40">
        <f t="shared" si="11"/>
        <v>0.53685706099999986</v>
      </c>
      <c r="G41" s="40">
        <f t="shared" si="11"/>
        <v>0.55135220164699994</v>
      </c>
      <c r="H41" s="40">
        <f t="shared" si="11"/>
        <v>0.56623871109146884</v>
      </c>
      <c r="I41" s="40">
        <f t="shared" si="11"/>
        <v>0.58152715629093843</v>
      </c>
      <c r="J41" s="40">
        <f t="shared" si="11"/>
        <v>0.59722838951079371</v>
      </c>
      <c r="K41" s="40">
        <f t="shared" si="11"/>
        <v>0.61335355602758501</v>
      </c>
      <c r="L41" s="40">
        <f t="shared" si="11"/>
        <v>0.62991410204032983</v>
      </c>
      <c r="M41" s="40">
        <f t="shared" si="11"/>
        <v>0.64692178279541857</v>
      </c>
      <c r="N41" s="40">
        <f t="shared" si="11"/>
        <v>0.66438867093089482</v>
      </c>
      <c r="O41" s="121">
        <f t="shared" si="1"/>
        <v>0.59105246313344284</v>
      </c>
      <c r="P41" s="12"/>
    </row>
    <row r="42" spans="2:16">
      <c r="B42" s="69" t="s">
        <v>525</v>
      </c>
      <c r="C42" s="61">
        <f>설정값!$D$87</f>
        <v>2.7E-2</v>
      </c>
      <c r="D42" s="40">
        <f>대조선박_손익!$C$81/1000000</f>
        <v>0.51385000000000003</v>
      </c>
      <c r="E42" s="40">
        <f t="shared" si="11"/>
        <v>0.52772394999999994</v>
      </c>
      <c r="F42" s="40">
        <f t="shared" si="11"/>
        <v>0.54197249664999991</v>
      </c>
      <c r="G42" s="40">
        <f t="shared" si="11"/>
        <v>0.55660575405954993</v>
      </c>
      <c r="H42" s="40">
        <f t="shared" si="11"/>
        <v>0.57163410941915771</v>
      </c>
      <c r="I42" s="40">
        <f t="shared" si="11"/>
        <v>0.58706823037347489</v>
      </c>
      <c r="J42" s="40">
        <f t="shared" si="11"/>
        <v>0.60291907259355859</v>
      </c>
      <c r="K42" s="40">
        <f t="shared" si="11"/>
        <v>0.61919788755358462</v>
      </c>
      <c r="L42" s="40">
        <f t="shared" si="11"/>
        <v>0.63591623051753143</v>
      </c>
      <c r="M42" s="40">
        <f t="shared" si="11"/>
        <v>0.6530859687415046</v>
      </c>
      <c r="N42" s="40">
        <f t="shared" si="11"/>
        <v>0.67071928989752527</v>
      </c>
      <c r="O42" s="121">
        <f t="shared" si="1"/>
        <v>0.59668429898058872</v>
      </c>
      <c r="P42" s="12"/>
    </row>
    <row r="43" spans="2:16">
      <c r="B43" s="69" t="s">
        <v>526</v>
      </c>
      <c r="C43" s="61">
        <f>설정값!$D$87</f>
        <v>2.7E-2</v>
      </c>
      <c r="D43" s="40">
        <f>대조선박_손익!$C$82/1000000</f>
        <v>1.1998180000000001</v>
      </c>
      <c r="E43" s="40">
        <f t="shared" si="11"/>
        <v>1.232213086</v>
      </c>
      <c r="F43" s="40">
        <f t="shared" si="11"/>
        <v>1.2654828393219999</v>
      </c>
      <c r="G43" s="40">
        <f t="shared" si="11"/>
        <v>1.2996508759836938</v>
      </c>
      <c r="H43" s="40">
        <f t="shared" si="11"/>
        <v>1.3347414496352532</v>
      </c>
      <c r="I43" s="40">
        <f t="shared" si="11"/>
        <v>1.3707794687754051</v>
      </c>
      <c r="J43" s="40">
        <f t="shared" si="11"/>
        <v>1.4077905144323408</v>
      </c>
      <c r="K43" s="40">
        <f t="shared" si="11"/>
        <v>1.4458008583220139</v>
      </c>
      <c r="L43" s="40">
        <f t="shared" si="11"/>
        <v>1.484837481496708</v>
      </c>
      <c r="M43" s="40">
        <f t="shared" si="11"/>
        <v>1.524928093497119</v>
      </c>
      <c r="N43" s="40">
        <f t="shared" si="11"/>
        <v>1.5661011520215411</v>
      </c>
      <c r="O43" s="121">
        <f t="shared" si="1"/>
        <v>1.3932325819486073</v>
      </c>
      <c r="P43" s="12"/>
    </row>
    <row r="44" spans="2:16">
      <c r="B44" s="69" t="s">
        <v>527</v>
      </c>
      <c r="C44" s="61">
        <f>설정값!$D$87</f>
        <v>2.7E-2</v>
      </c>
      <c r="D44" s="40">
        <f>대조선박_손익!$C$83/1000000</f>
        <v>8.3680000000000003</v>
      </c>
      <c r="E44" s="40">
        <f t="shared" si="11"/>
        <v>8.5939359999999994</v>
      </c>
      <c r="F44" s="40">
        <f t="shared" si="11"/>
        <v>8.8259722719999996</v>
      </c>
      <c r="G44" s="40">
        <f t="shared" si="11"/>
        <v>9.0642735233439993</v>
      </c>
      <c r="H44" s="40">
        <f t="shared" si="11"/>
        <v>9.3090089084742846</v>
      </c>
      <c r="I44" s="40">
        <f t="shared" si="11"/>
        <v>9.5603521490030907</v>
      </c>
      <c r="J44" s="40">
        <f t="shared" si="11"/>
        <v>9.8184816570261724</v>
      </c>
      <c r="K44" s="40">
        <f t="shared" si="11"/>
        <v>10.083580661765877</v>
      </c>
      <c r="L44" s="40">
        <f t="shared" si="11"/>
        <v>10.355837339633556</v>
      </c>
      <c r="M44" s="40">
        <f t="shared" si="11"/>
        <v>10.635444947803659</v>
      </c>
      <c r="N44" s="40">
        <f t="shared" si="11"/>
        <v>10.922601961394358</v>
      </c>
      <c r="O44" s="121">
        <f t="shared" si="1"/>
        <v>9.7169489420444997</v>
      </c>
      <c r="P44" s="12"/>
    </row>
    <row r="45" spans="2:16">
      <c r="B45" s="69" t="s">
        <v>528</v>
      </c>
      <c r="C45" s="61">
        <f>설정값!$D$87</f>
        <v>2.7E-2</v>
      </c>
      <c r="D45" s="40">
        <f>대조선박_손익!$C$84/1000000</f>
        <v>9.7591230000000007</v>
      </c>
      <c r="E45" s="40">
        <f t="shared" si="11"/>
        <v>10.022619321000001</v>
      </c>
      <c r="F45" s="40">
        <f t="shared" si="11"/>
        <v>10.293230042666998</v>
      </c>
      <c r="G45" s="40">
        <f t="shared" si="11"/>
        <v>10.571147253819008</v>
      </c>
      <c r="H45" s="40">
        <f t="shared" si="11"/>
        <v>10.856568229672119</v>
      </c>
      <c r="I45" s="40">
        <f t="shared" si="11"/>
        <v>11.149695571873265</v>
      </c>
      <c r="J45" s="40">
        <f t="shared" si="11"/>
        <v>11.450737352313842</v>
      </c>
      <c r="K45" s="40">
        <f t="shared" si="11"/>
        <v>11.759907260826315</v>
      </c>
      <c r="L45" s="40">
        <f t="shared" si="11"/>
        <v>12.077424756868623</v>
      </c>
      <c r="M45" s="40">
        <f t="shared" si="11"/>
        <v>12.403515225304075</v>
      </c>
      <c r="N45" s="40">
        <f t="shared" si="11"/>
        <v>12.738410136387285</v>
      </c>
      <c r="O45" s="121">
        <f t="shared" si="1"/>
        <v>11.332325515073153</v>
      </c>
      <c r="P45" s="12"/>
    </row>
    <row r="46" spans="2:16">
      <c r="B46" s="69" t="s">
        <v>529</v>
      </c>
      <c r="C46" s="61">
        <f>설정값!$D$87</f>
        <v>2.7E-2</v>
      </c>
      <c r="D46" s="40">
        <f>대조선박_손익!$C$85/1000000</f>
        <v>106.97359899999999</v>
      </c>
      <c r="E46" s="40">
        <f t="shared" si="11"/>
        <v>109.86188617299999</v>
      </c>
      <c r="F46" s="40">
        <f t="shared" si="11"/>
        <v>112.82815709967097</v>
      </c>
      <c r="G46" s="40">
        <f t="shared" si="11"/>
        <v>115.87451734136208</v>
      </c>
      <c r="H46" s="40">
        <f t="shared" si="11"/>
        <v>119.00312930957884</v>
      </c>
      <c r="I46" s="40">
        <f t="shared" si="11"/>
        <v>122.21621380093747</v>
      </c>
      <c r="J46" s="40">
        <f t="shared" si="11"/>
        <v>125.51605157356276</v>
      </c>
      <c r="K46" s="40">
        <f t="shared" si="11"/>
        <v>128.90498496604894</v>
      </c>
      <c r="L46" s="40">
        <f t="shared" si="11"/>
        <v>132.38541956013225</v>
      </c>
      <c r="M46" s="40">
        <f t="shared" si="11"/>
        <v>135.95982588825581</v>
      </c>
      <c r="N46" s="40">
        <f t="shared" si="11"/>
        <v>139.6307411872387</v>
      </c>
      <c r="O46" s="121">
        <f t="shared" si="1"/>
        <v>124.21809268997879</v>
      </c>
      <c r="P46" s="12"/>
    </row>
    <row r="47" spans="2:16">
      <c r="B47" s="69" t="s">
        <v>530</v>
      </c>
      <c r="C47" s="61">
        <f>설정값!$D$87</f>
        <v>2.7E-2</v>
      </c>
      <c r="D47" s="40">
        <f>대조선박_손익!$C$86/1000000</f>
        <v>0</v>
      </c>
      <c r="E47" s="40">
        <f t="shared" si="11"/>
        <v>0</v>
      </c>
      <c r="F47" s="40">
        <f t="shared" si="11"/>
        <v>0</v>
      </c>
      <c r="G47" s="40">
        <f t="shared" si="11"/>
        <v>0</v>
      </c>
      <c r="H47" s="40">
        <f t="shared" si="11"/>
        <v>0</v>
      </c>
      <c r="I47" s="40">
        <f t="shared" si="11"/>
        <v>0</v>
      </c>
      <c r="J47" s="40">
        <f t="shared" si="11"/>
        <v>0</v>
      </c>
      <c r="K47" s="40">
        <f t="shared" si="11"/>
        <v>0</v>
      </c>
      <c r="L47" s="40">
        <f t="shared" si="11"/>
        <v>0</v>
      </c>
      <c r="M47" s="40">
        <f t="shared" si="11"/>
        <v>0</v>
      </c>
      <c r="N47" s="40">
        <f t="shared" si="11"/>
        <v>0</v>
      </c>
      <c r="O47" s="121">
        <f t="shared" si="1"/>
        <v>0</v>
      </c>
      <c r="P47" s="12"/>
    </row>
    <row r="48" spans="2:16">
      <c r="B48" s="70" t="s">
        <v>531</v>
      </c>
      <c r="C48" s="82"/>
      <c r="D48" s="47">
        <f t="shared" ref="D48:N48" si="12">D26+-D27</f>
        <v>803.60280102019306</v>
      </c>
      <c r="E48" s="47">
        <f t="shared" si="12"/>
        <v>1244.977361644264</v>
      </c>
      <c r="F48" s="47">
        <f t="shared" si="12"/>
        <v>1686.0197476584563</v>
      </c>
      <c r="G48" s="47">
        <f t="shared" si="12"/>
        <v>2126.1847547592665</v>
      </c>
      <c r="H48" s="47">
        <f t="shared" si="12"/>
        <v>2612.8061450392461</v>
      </c>
      <c r="I48" s="47">
        <f t="shared" si="12"/>
        <v>3098.9526600955378</v>
      </c>
      <c r="J48" s="47">
        <f t="shared" si="12"/>
        <v>3583.941227894381</v>
      </c>
      <c r="K48" s="47">
        <f t="shared" si="12"/>
        <v>4067.0126787642403</v>
      </c>
      <c r="L48" s="47">
        <f t="shared" si="12"/>
        <v>4547.3244337934648</v>
      </c>
      <c r="M48" s="47">
        <f t="shared" si="12"/>
        <v>5023.9424420627565</v>
      </c>
      <c r="N48" s="47">
        <f t="shared" si="12"/>
        <v>5495.832280292394</v>
      </c>
      <c r="O48" s="124">
        <f t="shared" si="1"/>
        <v>3348.6993732004003</v>
      </c>
      <c r="P48" s="12" t="s">
        <v>625</v>
      </c>
    </row>
    <row r="49" spans="2:16">
      <c r="B49" s="51" t="s">
        <v>8</v>
      </c>
      <c r="C49" s="102"/>
      <c r="D49" s="71">
        <f t="shared" ref="D49:O49" si="13">IFERROR(D48/D7,0)</f>
        <v>3.4938830521775661E-2</v>
      </c>
      <c r="E49" s="71">
        <f t="shared" si="13"/>
        <v>5.272953500577568E-2</v>
      </c>
      <c r="F49" s="71">
        <f t="shared" si="13"/>
        <v>6.9563124197725479E-2</v>
      </c>
      <c r="G49" s="71">
        <f t="shared" si="13"/>
        <v>8.5455444685753529E-2</v>
      </c>
      <c r="H49" s="71">
        <f t="shared" si="13"/>
        <v>0.10229788143444897</v>
      </c>
      <c r="I49" s="71">
        <f t="shared" si="13"/>
        <v>0.11819347811498208</v>
      </c>
      <c r="J49" s="71">
        <f t="shared" si="13"/>
        <v>0.13315485032314939</v>
      </c>
      <c r="K49" s="71">
        <f t="shared" si="13"/>
        <v>0.14719315405094635</v>
      </c>
      <c r="L49" s="71">
        <f t="shared" si="13"/>
        <v>0.16031805842572922</v>
      </c>
      <c r="M49" s="71">
        <f t="shared" si="13"/>
        <v>0.17253771247256394</v>
      </c>
      <c r="N49" s="71">
        <f t="shared" si="13"/>
        <v>0.18385870537320625</v>
      </c>
      <c r="O49" s="125">
        <f t="shared" si="13"/>
        <v>0.1256976984747239</v>
      </c>
      <c r="P49" s="10" t="s">
        <v>626</v>
      </c>
    </row>
    <row r="50" spans="2:16">
      <c r="B50" s="10" t="s">
        <v>627</v>
      </c>
      <c r="C50" s="102"/>
      <c r="D50" s="40">
        <f t="shared" ref="D50:O50" si="14">D48+D16</f>
        <v>3053.6028010201931</v>
      </c>
      <c r="E50" s="40">
        <f t="shared" si="14"/>
        <v>3494.977361644264</v>
      </c>
      <c r="F50" s="40">
        <f t="shared" si="14"/>
        <v>3936.0197476584563</v>
      </c>
      <c r="G50" s="40">
        <f t="shared" si="14"/>
        <v>4376.1847547592661</v>
      </c>
      <c r="H50" s="40">
        <f t="shared" si="14"/>
        <v>4862.8061450392461</v>
      </c>
      <c r="I50" s="40">
        <f t="shared" si="14"/>
        <v>5348.9526600955378</v>
      </c>
      <c r="J50" s="40">
        <f t="shared" si="14"/>
        <v>5833.941227894381</v>
      </c>
      <c r="K50" s="40">
        <f t="shared" si="14"/>
        <v>6317.0126787642403</v>
      </c>
      <c r="L50" s="40">
        <f t="shared" si="14"/>
        <v>6797.3244337934648</v>
      </c>
      <c r="M50" s="40">
        <f t="shared" si="14"/>
        <v>7273.9424420627565</v>
      </c>
      <c r="N50" s="40">
        <f t="shared" si="14"/>
        <v>7745.832280292394</v>
      </c>
      <c r="O50" s="121">
        <f t="shared" si="14"/>
        <v>5598.6993732004003</v>
      </c>
      <c r="P50" s="10" t="s">
        <v>628</v>
      </c>
    </row>
    <row r="51" spans="2:16">
      <c r="B51" s="12" t="s">
        <v>629</v>
      </c>
      <c r="C51" s="102"/>
      <c r="D51" s="40"/>
      <c r="E51" s="40">
        <f>SUM($E48:E48)</f>
        <v>1244.977361644264</v>
      </c>
      <c r="F51" s="40">
        <f>SUM($E48:F48)</f>
        <v>2930.9971093027202</v>
      </c>
      <c r="G51" s="40">
        <f>SUM($E48:G48)</f>
        <v>5057.1818640619867</v>
      </c>
      <c r="H51" s="40">
        <f>SUM($E48:H48)</f>
        <v>7669.9880091012328</v>
      </c>
      <c r="I51" s="40">
        <f>SUM($E48:I48)</f>
        <v>10768.940669196771</v>
      </c>
      <c r="J51" s="40">
        <f>SUM($E48:J48)</f>
        <v>14352.881897091152</v>
      </c>
      <c r="K51" s="40">
        <f>SUM($E48:K48)</f>
        <v>18419.894575855393</v>
      </c>
      <c r="L51" s="40">
        <f>SUM($E48:L48)</f>
        <v>22967.219009648856</v>
      </c>
      <c r="M51" s="40">
        <f>SUM($E48:M48)</f>
        <v>27991.16145171161</v>
      </c>
      <c r="N51" s="40">
        <f>SUM($E48:N48)</f>
        <v>33486.993732004004</v>
      </c>
      <c r="O51" s="102"/>
      <c r="P51" s="10" t="s">
        <v>630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Y100"/>
  <sheetViews>
    <sheetView topLeftCell="A67" zoomScale="85" zoomScaleNormal="85" workbookViewId="0">
      <selection activeCell="I104" sqref="I104"/>
    </sheetView>
  </sheetViews>
  <sheetFormatPr defaultColWidth="8.7109375" defaultRowHeight="15"/>
  <cols>
    <col min="1" max="1" width="2" customWidth="1"/>
    <col min="2" max="2" width="22" customWidth="1"/>
    <col min="3" max="3" width="17" bestFit="1" customWidth="1"/>
    <col min="4" max="4" width="43.28515625" bestFit="1" customWidth="1"/>
    <col min="5" max="5" width="13" customWidth="1"/>
    <col min="6" max="6" width="14.140625" bestFit="1" customWidth="1"/>
    <col min="7" max="8" width="10" customWidth="1"/>
    <col min="9" max="10" width="14" customWidth="1"/>
    <col min="11" max="11" width="10" customWidth="1"/>
    <col min="12" max="12" width="13" customWidth="1"/>
    <col min="13" max="14" width="10" customWidth="1"/>
    <col min="15" max="15" width="11" customWidth="1"/>
    <col min="16" max="25" width="12" customWidth="1"/>
  </cols>
  <sheetData>
    <row r="1" spans="2:8" ht="26.25">
      <c r="B1" s="2" t="s">
        <v>631</v>
      </c>
    </row>
    <row r="2" spans="2:8">
      <c r="B2" s="3" t="s">
        <v>632</v>
      </c>
    </row>
    <row r="4" spans="2:8" ht="16.5">
      <c r="B4" s="25" t="s">
        <v>633</v>
      </c>
    </row>
    <row r="5" spans="2:8" ht="15" customHeight="1">
      <c r="B5" s="4" t="s">
        <v>634</v>
      </c>
      <c r="C5" s="4" t="s">
        <v>76</v>
      </c>
      <c r="D5" s="1" t="s">
        <v>426</v>
      </c>
      <c r="E5" s="1"/>
      <c r="F5" s="1"/>
      <c r="G5" s="1"/>
      <c r="H5" s="1"/>
    </row>
    <row r="6" spans="2:8">
      <c r="B6" s="12" t="s">
        <v>635</v>
      </c>
      <c r="C6" s="40">
        <f>원가구조_기준!$F$68</f>
        <v>7536536311</v>
      </c>
      <c r="D6" s="3" t="s">
        <v>636</v>
      </c>
    </row>
    <row r="7" spans="2:8">
      <c r="B7" s="12" t="s">
        <v>637</v>
      </c>
      <c r="C7" s="40">
        <f>원가구조_기준!$G$68</f>
        <v>7148774749</v>
      </c>
      <c r="D7" s="3" t="s">
        <v>638</v>
      </c>
    </row>
    <row r="8" spans="2:8">
      <c r="B8" s="12" t="s">
        <v>639</v>
      </c>
      <c r="C8" s="56">
        <f>설정값!$D$11</f>
        <v>498</v>
      </c>
      <c r="D8" s="3"/>
    </row>
    <row r="9" spans="2:8">
      <c r="B9" s="12" t="s">
        <v>640</v>
      </c>
      <c r="C9" s="40">
        <f>원가구조_기준!$C$44</f>
        <v>88950</v>
      </c>
      <c r="D9" s="3"/>
    </row>
    <row r="10" spans="2:8">
      <c r="B10" s="12" t="s">
        <v>641</v>
      </c>
      <c r="C10" s="40">
        <f>원가구조_기준!$C$74</f>
        <v>3754.181522632367</v>
      </c>
      <c r="D10" s="3"/>
    </row>
    <row r="11" spans="2:8">
      <c r="B11" s="12" t="s">
        <v>642</v>
      </c>
      <c r="C11" s="40">
        <f>원가구조_기준!$C$8</f>
        <v>332642171</v>
      </c>
      <c r="D11" s="3" t="s">
        <v>643</v>
      </c>
    </row>
    <row r="12" spans="2:8">
      <c r="B12" s="12" t="s">
        <v>644</v>
      </c>
      <c r="C12" s="56">
        <f>원가구조_기준!$C$47</f>
        <v>970</v>
      </c>
      <c r="D12" s="3" t="s">
        <v>645</v>
      </c>
    </row>
    <row r="13" spans="2:8">
      <c r="B13" s="12" t="s">
        <v>646</v>
      </c>
      <c r="C13" s="12" t="str">
        <f>설정값!$D$18</f>
        <v>X</v>
      </c>
      <c r="D13" s="3"/>
    </row>
    <row r="14" spans="2:8">
      <c r="B14" s="12" t="s">
        <v>647</v>
      </c>
      <c r="C14" s="56">
        <f>원가구조_기준!$C$46</f>
        <v>158197</v>
      </c>
      <c r="D14" s="3" t="s">
        <v>414</v>
      </c>
    </row>
    <row r="15" spans="2:8">
      <c r="B15" s="12" t="s">
        <v>648</v>
      </c>
      <c r="C15" s="56">
        <f>원가구조_기준!$C$45</f>
        <v>144058.08875772907</v>
      </c>
      <c r="D15" s="3" t="s">
        <v>649</v>
      </c>
    </row>
    <row r="16" spans="2:8">
      <c r="B16" s="12" t="s">
        <v>650</v>
      </c>
      <c r="C16" s="56">
        <f>원가구조_기준!$C$45</f>
        <v>144058.08875772907</v>
      </c>
      <c r="D16" s="3" t="s">
        <v>651</v>
      </c>
    </row>
    <row r="17" spans="2:4">
      <c r="B17" s="12" t="s">
        <v>652</v>
      </c>
      <c r="C17" s="40">
        <f>설정값!$D$17</f>
        <v>0</v>
      </c>
      <c r="D17" s="3"/>
    </row>
    <row r="18" spans="2:4">
      <c r="B18" s="12" t="s">
        <v>112</v>
      </c>
      <c r="C18" s="41">
        <f>설정값!$D$19</f>
        <v>0.05</v>
      </c>
      <c r="D18" s="3"/>
    </row>
    <row r="19" spans="2:4">
      <c r="B19" s="12" t="s">
        <v>653</v>
      </c>
      <c r="C19" s="40">
        <f>원가구조_기준!$F$69</f>
        <v>5098034000</v>
      </c>
      <c r="D19" s="3"/>
    </row>
    <row r="20" spans="2:4">
      <c r="B20" s="12" t="s">
        <v>654</v>
      </c>
      <c r="C20" s="40">
        <f>원가구조_기준!$G$69</f>
        <v>7148774749</v>
      </c>
      <c r="D20" s="3"/>
    </row>
    <row r="21" spans="2:4">
      <c r="B21" s="12" t="s">
        <v>655</v>
      </c>
      <c r="C21" s="40">
        <f>원가구조_기준!$H$69</f>
        <v>0</v>
      </c>
      <c r="D21" s="3"/>
    </row>
    <row r="22" spans="2:4">
      <c r="B22" s="12" t="s">
        <v>656</v>
      </c>
      <c r="C22" s="40">
        <f>원가구조_기준!$F$70</f>
        <v>2438502311</v>
      </c>
      <c r="D22" s="3"/>
    </row>
    <row r="23" spans="2:4">
      <c r="B23" s="12" t="s">
        <v>657</v>
      </c>
      <c r="C23" s="40">
        <f>원가구조_기준!$G$70</f>
        <v>0</v>
      </c>
      <c r="D23" s="3"/>
    </row>
    <row r="24" spans="2:4">
      <c r="B24" s="12" t="s">
        <v>658</v>
      </c>
      <c r="C24" s="40">
        <f>원가구조_기준!$H$70</f>
        <v>540820215</v>
      </c>
      <c r="D24" s="3"/>
    </row>
    <row r="25" spans="2:4">
      <c r="B25" s="12" t="s">
        <v>382</v>
      </c>
      <c r="C25" s="40">
        <f>원가구조_기준!$C$20+원가구조_기준!$C$34</f>
        <v>3792443250</v>
      </c>
      <c r="D25" s="3" t="s">
        <v>659</v>
      </c>
    </row>
    <row r="26" spans="2:4">
      <c r="B26" s="19" t="s">
        <v>660</v>
      </c>
    </row>
    <row r="27" spans="2:4">
      <c r="B27" s="4" t="s">
        <v>75</v>
      </c>
      <c r="C27" s="4" t="s">
        <v>76</v>
      </c>
    </row>
    <row r="28" spans="2:4">
      <c r="B28" s="12" t="s">
        <v>661</v>
      </c>
      <c r="C28" s="56">
        <f>IF(AND($C$13="O",$C$12&gt;0),MAX($C$8,CEILING(($C$14)/$C$12,1)),$C$8)</f>
        <v>498</v>
      </c>
    </row>
    <row r="29" spans="2:4">
      <c r="B29" s="12" t="s">
        <v>369</v>
      </c>
      <c r="C29" s="40">
        <f>$C$14*$C$9+$C$11</f>
        <v>14404265321</v>
      </c>
    </row>
    <row r="30" spans="2:4">
      <c r="B30" s="12" t="s">
        <v>447</v>
      </c>
      <c r="C30" s="40">
        <f>($C$6+$C$7/$C$8*(IF(AND($C$13="O",$C$12&gt;0),MAX($C$8,CEILING(($C$14)/$C$12,1)),$C$8))+$C$10*($C$14))</f>
        <v>15279211314.335873</v>
      </c>
    </row>
    <row r="31" spans="2:4">
      <c r="B31" s="12" t="s">
        <v>662</v>
      </c>
      <c r="C31" s="40">
        <f>$C$29-$C$30</f>
        <v>-874945993.33587265</v>
      </c>
    </row>
    <row r="32" spans="2:4">
      <c r="B32" s="51" t="s">
        <v>8</v>
      </c>
      <c r="C32" s="71">
        <f>IFERROR($C$31/$C$29,0)</f>
        <v>-6.0742146429383498E-2</v>
      </c>
    </row>
    <row r="33" spans="2:25">
      <c r="Q33" s="3" t="s">
        <v>1035</v>
      </c>
    </row>
    <row r="34" spans="2:25" ht="30" customHeight="1">
      <c r="B34" s="4" t="s">
        <v>112</v>
      </c>
      <c r="C34" s="4" t="s">
        <v>663</v>
      </c>
      <c r="D34" s="4" t="s">
        <v>664</v>
      </c>
      <c r="E34" s="4" t="s">
        <v>665</v>
      </c>
      <c r="F34" s="4" t="s">
        <v>666</v>
      </c>
      <c r="G34" s="4" t="s">
        <v>661</v>
      </c>
      <c r="H34" s="4" t="s">
        <v>417</v>
      </c>
      <c r="I34" s="4" t="s">
        <v>369</v>
      </c>
      <c r="J34" s="4" t="s">
        <v>138</v>
      </c>
      <c r="K34" s="4" t="s">
        <v>667</v>
      </c>
      <c r="L34" s="4" t="s">
        <v>668</v>
      </c>
      <c r="M34" s="4" t="s">
        <v>669</v>
      </c>
      <c r="N34" s="4" t="s">
        <v>670</v>
      </c>
      <c r="O34" s="4" t="s">
        <v>671</v>
      </c>
      <c r="Q34" s="4" t="s">
        <v>672</v>
      </c>
      <c r="R34" s="4" t="s">
        <v>673</v>
      </c>
      <c r="S34" s="73" t="s">
        <v>674</v>
      </c>
      <c r="T34" s="4" t="s">
        <v>675</v>
      </c>
      <c r="U34" s="73" t="s">
        <v>676</v>
      </c>
      <c r="V34" s="4" t="s">
        <v>677</v>
      </c>
      <c r="W34" s="73" t="s">
        <v>678</v>
      </c>
      <c r="X34" s="4" t="s">
        <v>679</v>
      </c>
      <c r="Y34" s="73" t="s">
        <v>680</v>
      </c>
    </row>
    <row r="35" spans="2:25">
      <c r="B35" s="83">
        <v>0</v>
      </c>
      <c r="C35" s="60">
        <f t="shared" ref="C35:C41" si="0">IF($Q35&lt;=0,"달성 불가",Y35)</f>
        <v>168466.82320227727</v>
      </c>
      <c r="D35" s="84">
        <f t="shared" ref="D35:D41" si="1">IF(ISNUMBER(C35),C35-$C$15,"")</f>
        <v>24408.734444548201</v>
      </c>
      <c r="E35" s="40">
        <f t="shared" ref="E35:E41" si="2">IFERROR((($C$6+$C$7/$C$8*IF(AND($C$13="O",$C$12&gt;0),MAX($C$8,CEILING(($C$14)/$C$12,1)),$C$8)+$C$10*$C$14)/(1-$B35)-$C$11)/$C$14,"")</f>
        <v>94480.736950358551</v>
      </c>
      <c r="F35" s="56">
        <f t="shared" ref="F35:F41" si="3">IF(ISNUMBER(C35),C35/$C$8,"")</f>
        <v>338.28679357887</v>
      </c>
      <c r="G35" s="56">
        <f t="shared" ref="G35:G41" si="4">IF(ISNUMBER(C35),IF(AND($C$13="O",$C$12&gt;0),MAX($C$8,CEILING((C35)/$C$12,1)),$C$8),"")</f>
        <v>498</v>
      </c>
      <c r="H35" s="41">
        <f t="shared" ref="H35:H41" si="5">IF(AND(ISNUMBER(C35),$C$12&gt;0),C35/($C$12*$C$8),"")</f>
        <v>0.34874927173079384</v>
      </c>
      <c r="I35" s="40">
        <f t="shared" ref="I35:I41" si="6">IF(ISNUMBER(C35),C35*$C$9+$C$11,"")</f>
        <v>15317766094.842564</v>
      </c>
      <c r="J35" s="40">
        <f t="shared" ref="J35:J41" si="7">IF(ISNUMBER(C35),$C$19+$C$20/$C$8*G35+$C$21/$C$16*C35+$C$17*C35,"")</f>
        <v>12246808749</v>
      </c>
      <c r="K35" s="41">
        <f t="shared" ref="K35:K41" si="8">IF(ISNUMBER(C35),J35/I35,"")</f>
        <v>0.79951663141817109</v>
      </c>
      <c r="L35" s="40">
        <f t="shared" ref="L35:L41" si="9">IF(ISNUMBER(C35),$C$22+$C$23/$C$8*G35+$C$24/$C$16*C35,"")</f>
        <v>3070957345.8425632</v>
      </c>
      <c r="M35" s="41">
        <f t="shared" ref="M35:M41" si="10">IF(ISNUMBER(C35),L35/I35,"")</f>
        <v>0.20048336858182886</v>
      </c>
      <c r="N35" s="41">
        <f t="shared" ref="N35:N41" si="11">IF(ISNUMBER(C35),$C$25/I35,"")</f>
        <v>0.24758461687679784</v>
      </c>
      <c r="O35" s="41">
        <f t="shared" ref="O35:O41" si="12">IF(ISNUMBER(C35),(I35-J35-L35)/I35,"")</f>
        <v>3.112968008851332E-17</v>
      </c>
      <c r="Q35" s="40">
        <f t="shared" ref="Q35:Q41" si="13">(1-$B35)*$C$9-$C$10</f>
        <v>85195.818477367633</v>
      </c>
      <c r="R35" s="56">
        <f t="shared" ref="R35:R41" si="14">$C$8</f>
        <v>498</v>
      </c>
      <c r="S35" s="56">
        <f t="shared" ref="S35:S41" si="15">IF($Q35&lt;=0,0,MAX(0,($C$6+$C$7/$C$8*R35-(1-$B35)*$C$11)/$Q35))</f>
        <v>168466.82320227727</v>
      </c>
      <c r="T35" s="56">
        <f t="shared" ref="T35:T41" si="16">IF(AND($C$13="O",$C$12&gt;0),MAX($C$8,CEILING((S35)/$C$12,1)),$C$8)</f>
        <v>498</v>
      </c>
      <c r="U35" s="56">
        <f t="shared" ref="U35:U41" si="17">IF($Q35&lt;=0,0,MAX(0,($C$6+$C$7/$C$8*T35-(1-$B35)*$C$11)/$Q35))</f>
        <v>168466.82320227727</v>
      </c>
      <c r="V35" s="56">
        <f t="shared" ref="V35:V41" si="18">IF(AND($C$13="O",$C$12&gt;0),MAX($C$8,CEILING((U35)/$C$12,1)),$C$8)</f>
        <v>498</v>
      </c>
      <c r="W35" s="56">
        <f t="shared" ref="W35:W41" si="19">IF($Q35&lt;=0,0,MAX(0,($C$6+$C$7/$C$8*V35-(1-$B35)*$C$11)/$Q35))</f>
        <v>168466.82320227727</v>
      </c>
      <c r="X35" s="56">
        <f t="shared" ref="X35:X41" si="20">IF(AND($C$13="O",$C$12&gt;0),MAX($C$8,CEILING((W35)/$C$12,1)),$C$8)</f>
        <v>498</v>
      </c>
      <c r="Y35" s="56">
        <f t="shared" ref="Y35:Y41" si="21">IF($Q35&lt;=0,0,MAX(0,($C$6+$C$7/$C$8*X35-(1-$B35)*$C$11)/$Q35))</f>
        <v>168466.82320227727</v>
      </c>
    </row>
    <row r="36" spans="2:25">
      <c r="B36" s="85">
        <v>0.03</v>
      </c>
      <c r="C36" s="60">
        <f t="shared" si="0"/>
        <v>174035.07613141247</v>
      </c>
      <c r="D36" s="84">
        <f t="shared" si="1"/>
        <v>29976.987373683398</v>
      </c>
      <c r="E36" s="40">
        <f t="shared" si="2"/>
        <v>97467.853818867457</v>
      </c>
      <c r="F36" s="56">
        <f t="shared" si="3"/>
        <v>349.46802436026599</v>
      </c>
      <c r="G36" s="56">
        <f t="shared" si="4"/>
        <v>498</v>
      </c>
      <c r="H36" s="41">
        <f t="shared" si="5"/>
        <v>0.36027631377347008</v>
      </c>
      <c r="I36" s="40">
        <f t="shared" si="6"/>
        <v>15813062192.889139</v>
      </c>
      <c r="J36" s="40">
        <f t="shared" si="7"/>
        <v>12246808749</v>
      </c>
      <c r="K36" s="41">
        <f t="shared" si="8"/>
        <v>0.77447420364331321</v>
      </c>
      <c r="L36" s="40">
        <f t="shared" si="9"/>
        <v>3091861578.1024661</v>
      </c>
      <c r="M36" s="41">
        <f t="shared" si="10"/>
        <v>0.19552579635668688</v>
      </c>
      <c r="N36" s="41">
        <f t="shared" si="11"/>
        <v>0.23982978146417436</v>
      </c>
      <c r="O36" s="41">
        <f t="shared" si="12"/>
        <v>2.999999999999993E-2</v>
      </c>
      <c r="Q36" s="40">
        <f t="shared" si="13"/>
        <v>82527.318477367633</v>
      </c>
      <c r="R36" s="56">
        <f t="shared" si="14"/>
        <v>498</v>
      </c>
      <c r="S36" s="56">
        <f t="shared" si="15"/>
        <v>174035.07613141247</v>
      </c>
      <c r="T36" s="56">
        <f t="shared" si="16"/>
        <v>498</v>
      </c>
      <c r="U36" s="56">
        <f t="shared" si="17"/>
        <v>174035.07613141247</v>
      </c>
      <c r="V36" s="56">
        <f t="shared" si="18"/>
        <v>498</v>
      </c>
      <c r="W36" s="56">
        <f t="shared" si="19"/>
        <v>174035.07613141247</v>
      </c>
      <c r="X36" s="56">
        <f t="shared" si="20"/>
        <v>498</v>
      </c>
      <c r="Y36" s="56">
        <f t="shared" si="21"/>
        <v>174035.07613141247</v>
      </c>
    </row>
    <row r="37" spans="2:25">
      <c r="B37" s="85">
        <v>0.05</v>
      </c>
      <c r="C37" s="60">
        <f t="shared" si="0"/>
        <v>177951.70560211068</v>
      </c>
      <c r="D37" s="84">
        <f t="shared" si="1"/>
        <v>33893.616844381613</v>
      </c>
      <c r="E37" s="40">
        <f t="shared" si="2"/>
        <v>99564.076182733348</v>
      </c>
      <c r="F37" s="56">
        <f t="shared" si="3"/>
        <v>357.33274217291302</v>
      </c>
      <c r="G37" s="56">
        <f t="shared" si="4"/>
        <v>498</v>
      </c>
      <c r="H37" s="41">
        <f t="shared" si="5"/>
        <v>0.36838427028135362</v>
      </c>
      <c r="I37" s="40">
        <f t="shared" si="6"/>
        <v>16161446384.307745</v>
      </c>
      <c r="J37" s="40">
        <f t="shared" si="7"/>
        <v>12246808749</v>
      </c>
      <c r="K37" s="41">
        <f t="shared" si="8"/>
        <v>0.75777925179340788</v>
      </c>
      <c r="L37" s="40">
        <f t="shared" si="9"/>
        <v>3106565316.0923586</v>
      </c>
      <c r="M37" s="41">
        <f t="shared" si="10"/>
        <v>0.19222074820659218</v>
      </c>
      <c r="N37" s="41">
        <f t="shared" si="11"/>
        <v>0.234659891189092</v>
      </c>
      <c r="O37" s="41">
        <f t="shared" si="12"/>
        <v>4.9999999999999947E-2</v>
      </c>
      <c r="Q37" s="40">
        <f t="shared" si="13"/>
        <v>80748.318477367633</v>
      </c>
      <c r="R37" s="56">
        <f t="shared" si="14"/>
        <v>498</v>
      </c>
      <c r="S37" s="56">
        <f t="shared" si="15"/>
        <v>177951.70560211068</v>
      </c>
      <c r="T37" s="56">
        <f t="shared" si="16"/>
        <v>498</v>
      </c>
      <c r="U37" s="56">
        <f t="shared" si="17"/>
        <v>177951.70560211068</v>
      </c>
      <c r="V37" s="56">
        <f t="shared" si="18"/>
        <v>498</v>
      </c>
      <c r="W37" s="56">
        <f t="shared" si="19"/>
        <v>177951.70560211068</v>
      </c>
      <c r="X37" s="56">
        <f t="shared" si="20"/>
        <v>498</v>
      </c>
      <c r="Y37" s="56">
        <f t="shared" si="21"/>
        <v>177951.70560211068</v>
      </c>
    </row>
    <row r="38" spans="2:25">
      <c r="B38" s="85">
        <v>0.08</v>
      </c>
      <c r="C38" s="60">
        <f t="shared" si="0"/>
        <v>184161.29216345458</v>
      </c>
      <c r="D38" s="84">
        <f t="shared" si="1"/>
        <v>40103.203405725508</v>
      </c>
      <c r="E38" s="40">
        <f t="shared" si="2"/>
        <v>102879.29742123862</v>
      </c>
      <c r="F38" s="56">
        <f t="shared" si="3"/>
        <v>369.80179149288068</v>
      </c>
      <c r="G38" s="56">
        <f t="shared" si="4"/>
        <v>498</v>
      </c>
      <c r="H38" s="41">
        <f t="shared" si="5"/>
        <v>0.38123896030193882</v>
      </c>
      <c r="I38" s="40">
        <f t="shared" si="6"/>
        <v>16713789108.939285</v>
      </c>
      <c r="J38" s="40">
        <f t="shared" si="7"/>
        <v>12246808749</v>
      </c>
      <c r="K38" s="41">
        <f t="shared" si="8"/>
        <v>0.73273682401854989</v>
      </c>
      <c r="L38" s="40">
        <f t="shared" si="9"/>
        <v>3129877231.2241421</v>
      </c>
      <c r="M38" s="41">
        <f t="shared" si="10"/>
        <v>0.18726317598145015</v>
      </c>
      <c r="N38" s="41">
        <f t="shared" si="11"/>
        <v>0.22690505577646849</v>
      </c>
      <c r="O38" s="41">
        <f t="shared" si="12"/>
        <v>8.0000000000000029E-2</v>
      </c>
      <c r="Q38" s="40">
        <f t="shared" si="13"/>
        <v>78079.818477367633</v>
      </c>
      <c r="R38" s="56">
        <f t="shared" si="14"/>
        <v>498</v>
      </c>
      <c r="S38" s="56">
        <f t="shared" si="15"/>
        <v>184161.29216345458</v>
      </c>
      <c r="T38" s="56">
        <f t="shared" si="16"/>
        <v>498</v>
      </c>
      <c r="U38" s="56">
        <f t="shared" si="17"/>
        <v>184161.29216345458</v>
      </c>
      <c r="V38" s="56">
        <f t="shared" si="18"/>
        <v>498</v>
      </c>
      <c r="W38" s="56">
        <f t="shared" si="19"/>
        <v>184161.29216345458</v>
      </c>
      <c r="X38" s="56">
        <f t="shared" si="20"/>
        <v>498</v>
      </c>
      <c r="Y38" s="56">
        <f t="shared" si="21"/>
        <v>184161.29216345458</v>
      </c>
    </row>
    <row r="39" spans="2:25">
      <c r="B39" s="85">
        <v>0.1</v>
      </c>
      <c r="C39" s="60">
        <f t="shared" si="0"/>
        <v>188542.3170180954</v>
      </c>
      <c r="D39" s="84">
        <f t="shared" si="1"/>
        <v>44484.228260366333</v>
      </c>
      <c r="E39" s="40">
        <f t="shared" si="2"/>
        <v>105212.23088537199</v>
      </c>
      <c r="F39" s="56">
        <f t="shared" si="3"/>
        <v>378.59903015681806</v>
      </c>
      <c r="G39" s="56">
        <f t="shared" si="4"/>
        <v>498</v>
      </c>
      <c r="H39" s="41">
        <f t="shared" si="5"/>
        <v>0.39030827851218358</v>
      </c>
      <c r="I39" s="40">
        <f t="shared" si="6"/>
        <v>17103481269.759586</v>
      </c>
      <c r="J39" s="40">
        <f t="shared" si="7"/>
        <v>12246808749</v>
      </c>
      <c r="K39" s="41">
        <f t="shared" si="8"/>
        <v>0.71604187216864457</v>
      </c>
      <c r="L39" s="40">
        <f t="shared" si="9"/>
        <v>3146324393.783628</v>
      </c>
      <c r="M39" s="41">
        <f t="shared" si="10"/>
        <v>0.18395812783135548</v>
      </c>
      <c r="N39" s="41">
        <f t="shared" si="11"/>
        <v>0.22173516550138614</v>
      </c>
      <c r="O39" s="41">
        <f t="shared" si="12"/>
        <v>9.9999999999999978E-2</v>
      </c>
      <c r="Q39" s="40">
        <f t="shared" si="13"/>
        <v>76300.818477367633</v>
      </c>
      <c r="R39" s="56">
        <f t="shared" si="14"/>
        <v>498</v>
      </c>
      <c r="S39" s="56">
        <f t="shared" si="15"/>
        <v>188542.3170180954</v>
      </c>
      <c r="T39" s="56">
        <f t="shared" si="16"/>
        <v>498</v>
      </c>
      <c r="U39" s="56">
        <f t="shared" si="17"/>
        <v>188542.3170180954</v>
      </c>
      <c r="V39" s="56">
        <f t="shared" si="18"/>
        <v>498</v>
      </c>
      <c r="W39" s="56">
        <f t="shared" si="19"/>
        <v>188542.3170180954</v>
      </c>
      <c r="X39" s="56">
        <f t="shared" si="20"/>
        <v>498</v>
      </c>
      <c r="Y39" s="56">
        <f t="shared" si="21"/>
        <v>188542.3170180954</v>
      </c>
    </row>
    <row r="40" spans="2:25">
      <c r="B40" s="85">
        <v>0.15</v>
      </c>
      <c r="C40" s="60">
        <f t="shared" si="0"/>
        <v>200443.98115288888</v>
      </c>
      <c r="D40" s="84">
        <f t="shared" si="1"/>
        <v>56385.892395159812</v>
      </c>
      <c r="E40" s="40">
        <f t="shared" si="2"/>
        <v>111524.87437655636</v>
      </c>
      <c r="F40" s="56">
        <f t="shared" si="3"/>
        <v>402.49795412226683</v>
      </c>
      <c r="G40" s="56">
        <f t="shared" si="4"/>
        <v>498</v>
      </c>
      <c r="H40" s="41">
        <f t="shared" si="5"/>
        <v>0.41494634445594519</v>
      </c>
      <c r="I40" s="40">
        <f t="shared" si="6"/>
        <v>18162134294.549465</v>
      </c>
      <c r="J40" s="40">
        <f t="shared" si="7"/>
        <v>12246808749</v>
      </c>
      <c r="K40" s="41">
        <f t="shared" si="8"/>
        <v>0.67430449254388125</v>
      </c>
      <c r="L40" s="40">
        <f t="shared" si="9"/>
        <v>3191005401.3670459</v>
      </c>
      <c r="M40" s="41">
        <f t="shared" si="10"/>
        <v>0.17569550745611875</v>
      </c>
      <c r="N40" s="41">
        <f t="shared" si="11"/>
        <v>0.2088104398136803</v>
      </c>
      <c r="O40" s="41">
        <f t="shared" si="12"/>
        <v>0.14999999999999997</v>
      </c>
      <c r="Q40" s="40">
        <f t="shared" si="13"/>
        <v>71853.318477367633</v>
      </c>
      <c r="R40" s="56">
        <f t="shared" si="14"/>
        <v>498</v>
      </c>
      <c r="S40" s="56">
        <f t="shared" si="15"/>
        <v>200443.98115288888</v>
      </c>
      <c r="T40" s="56">
        <f t="shared" si="16"/>
        <v>498</v>
      </c>
      <c r="U40" s="56">
        <f t="shared" si="17"/>
        <v>200443.98115288888</v>
      </c>
      <c r="V40" s="56">
        <f t="shared" si="18"/>
        <v>498</v>
      </c>
      <c r="W40" s="56">
        <f t="shared" si="19"/>
        <v>200443.98115288888</v>
      </c>
      <c r="X40" s="56">
        <f t="shared" si="20"/>
        <v>498</v>
      </c>
      <c r="Y40" s="56">
        <f t="shared" si="21"/>
        <v>200443.98115288888</v>
      </c>
    </row>
    <row r="41" spans="2:25">
      <c r="B41" s="86">
        <f>$C$18</f>
        <v>0.05</v>
      </c>
      <c r="C41" s="68">
        <f t="shared" si="0"/>
        <v>177951.70560211068</v>
      </c>
      <c r="D41" s="87">
        <f t="shared" si="1"/>
        <v>33893.616844381613</v>
      </c>
      <c r="E41" s="49">
        <f t="shared" si="2"/>
        <v>99564.076182733348</v>
      </c>
      <c r="F41" s="29">
        <f t="shared" si="3"/>
        <v>357.33274217291302</v>
      </c>
      <c r="G41" s="29">
        <f t="shared" si="4"/>
        <v>498</v>
      </c>
      <c r="H41" s="48">
        <f t="shared" si="5"/>
        <v>0.36838427028135362</v>
      </c>
      <c r="I41" s="49">
        <f t="shared" si="6"/>
        <v>16161446384.307745</v>
      </c>
      <c r="J41" s="49">
        <f t="shared" si="7"/>
        <v>12246808749</v>
      </c>
      <c r="K41" s="48">
        <f t="shared" si="8"/>
        <v>0.75777925179340788</v>
      </c>
      <c r="L41" s="49">
        <f t="shared" si="9"/>
        <v>3106565316.0923586</v>
      </c>
      <c r="M41" s="48">
        <f t="shared" si="10"/>
        <v>0.19222074820659218</v>
      </c>
      <c r="N41" s="48">
        <f t="shared" si="11"/>
        <v>0.234659891189092</v>
      </c>
      <c r="O41" s="48">
        <f t="shared" si="12"/>
        <v>4.9999999999999947E-2</v>
      </c>
      <c r="Q41" s="40">
        <f t="shared" si="13"/>
        <v>80748.318477367633</v>
      </c>
      <c r="R41" s="56">
        <f t="shared" si="14"/>
        <v>498</v>
      </c>
      <c r="S41" s="56">
        <f t="shared" si="15"/>
        <v>177951.70560211068</v>
      </c>
      <c r="T41" s="56">
        <f t="shared" si="16"/>
        <v>498</v>
      </c>
      <c r="U41" s="56">
        <f t="shared" si="17"/>
        <v>177951.70560211068</v>
      </c>
      <c r="V41" s="56">
        <f t="shared" si="18"/>
        <v>498</v>
      </c>
      <c r="W41" s="56">
        <f t="shared" si="19"/>
        <v>177951.70560211068</v>
      </c>
      <c r="X41" s="56">
        <f t="shared" si="20"/>
        <v>498</v>
      </c>
      <c r="Y41" s="56">
        <f t="shared" si="21"/>
        <v>177951.70560211068</v>
      </c>
    </row>
    <row r="42" spans="2:25">
      <c r="B42" s="3" t="s">
        <v>681</v>
      </c>
    </row>
    <row r="44" spans="2:25">
      <c r="B44" s="4" t="s">
        <v>682</v>
      </c>
      <c r="C44" s="4" t="s">
        <v>76</v>
      </c>
      <c r="D44" s="4" t="s">
        <v>683</v>
      </c>
    </row>
    <row r="45" spans="2:25">
      <c r="B45" s="51" t="s">
        <v>663</v>
      </c>
      <c r="C45" s="68">
        <f>C41</f>
        <v>177951.70560211068</v>
      </c>
      <c r="D45" s="3" t="str">
        <f>IF(ISNUMBER(C41),"실적 "&amp;TEXT($C$15,"#,##0")&amp;"명 대비 "&amp;TEXT(C41/$C$15-1,"+0.0%;-0.0%"),"운임 ≤ 변동비")</f>
        <v>실적 144,058명 대비 +23.5%</v>
      </c>
    </row>
    <row r="46" spans="2:25">
      <c r="B46" s="51" t="s">
        <v>684</v>
      </c>
      <c r="C46" s="47">
        <f>E41</f>
        <v>99564.076182733348</v>
      </c>
      <c r="D46" s="3" t="str">
        <f>"승객 "&amp;TEXT($C$14,"#,##0")&amp;"명 고정 시 · 현재 대비 "&amp;TEXT(E41/$C$9-1,"+0.0%;-0.0%")</f>
        <v>승객 158,197명 고정 시 · 현재 대비 +11.9%</v>
      </c>
    </row>
    <row r="47" spans="2:25">
      <c r="B47" s="51" t="s">
        <v>685</v>
      </c>
      <c r="C47" s="47">
        <f>I41</f>
        <v>16161446384.307745</v>
      </c>
      <c r="D47" s="3" t="str">
        <f>IF(ISNUMBER(I41),"현재 설정 "&amp;TEXT($C$29/1000000,"#,##0")&amp;"백만 대비 "&amp;TEXT(I41/$C$29-1,"+0.0%;-0.0%"),"")</f>
        <v>현재 설정 14,404백만 대비 +12.2%</v>
      </c>
    </row>
    <row r="48" spans="2:25">
      <c r="B48" s="51" t="s">
        <v>686</v>
      </c>
      <c r="C48" s="47">
        <f>IF(ISNUMBER(C41),J41+L41,"")</f>
        <v>15353374065.092358</v>
      </c>
      <c r="D48" s="3" t="str">
        <f>IF(ISNUMBER(C41),"영업이익 "&amp;TEXT((I41-J41-L41)/1000000,"#,##0")&amp;"백만 확보","")</f>
        <v>영업이익 808백만 확보</v>
      </c>
    </row>
    <row r="50" spans="2:8" ht="16.5">
      <c r="B50" s="25" t="s">
        <v>687</v>
      </c>
    </row>
    <row r="51" spans="2:8" ht="15" customHeight="1">
      <c r="B51" s="4" t="s">
        <v>634</v>
      </c>
      <c r="C51" s="4" t="s">
        <v>76</v>
      </c>
      <c r="D51" s="1" t="s">
        <v>426</v>
      </c>
      <c r="E51" s="1"/>
      <c r="F51" s="1"/>
      <c r="G51" s="1"/>
      <c r="H51" s="1"/>
    </row>
    <row r="52" spans="2:8">
      <c r="B52" s="12" t="s">
        <v>635</v>
      </c>
      <c r="C52" s="40">
        <f>대조선박_손익!$F$115</f>
        <v>6437304311</v>
      </c>
      <c r="D52" s="3" t="s">
        <v>688</v>
      </c>
    </row>
    <row r="53" spans="2:8">
      <c r="B53" s="12" t="s">
        <v>637</v>
      </c>
      <c r="C53" s="40">
        <f>대조선박_손익!$G$115</f>
        <v>14376860287.165241</v>
      </c>
      <c r="D53" s="3"/>
    </row>
    <row r="54" spans="2:8">
      <c r="B54" s="12" t="s">
        <v>639</v>
      </c>
      <c r="C54" s="56">
        <f>설정값!$D$43</f>
        <v>600</v>
      </c>
      <c r="D54" s="3"/>
    </row>
    <row r="55" spans="2:8">
      <c r="B55" s="12" t="s">
        <v>640</v>
      </c>
      <c r="C55" s="40">
        <f>대조선박_손익!$C$23</f>
        <v>120000</v>
      </c>
      <c r="D55" s="3"/>
    </row>
    <row r="56" spans="2:8">
      <c r="B56" s="12" t="s">
        <v>641</v>
      </c>
      <c r="C56" s="40">
        <f>원가구조_기준!$C$74</f>
        <v>3754.181522632367</v>
      </c>
      <c r="D56" s="3" t="s">
        <v>689</v>
      </c>
    </row>
    <row r="57" spans="2:8">
      <c r="B57" s="12" t="s">
        <v>642</v>
      </c>
      <c r="C57" s="40">
        <f>대조선박_손익!$C$32</f>
        <v>1184277600</v>
      </c>
      <c r="D57" s="3" t="s">
        <v>690</v>
      </c>
    </row>
    <row r="58" spans="2:8">
      <c r="B58" s="12" t="s">
        <v>644</v>
      </c>
      <c r="C58" s="56">
        <f>대조선박_손익!$C$7</f>
        <v>606</v>
      </c>
      <c r="D58" s="3"/>
    </row>
    <row r="59" spans="2:8">
      <c r="B59" s="12" t="s">
        <v>646</v>
      </c>
      <c r="C59" s="12" t="str">
        <f>설정값!$D$18</f>
        <v>X</v>
      </c>
      <c r="D59" s="3"/>
    </row>
    <row r="60" spans="2:8">
      <c r="B60" s="12" t="s">
        <v>647</v>
      </c>
      <c r="C60" s="56">
        <f>대조선박_손익!$C$25</f>
        <v>181800</v>
      </c>
      <c r="D60" s="3" t="s">
        <v>691</v>
      </c>
    </row>
    <row r="61" spans="2:8">
      <c r="B61" s="12" t="s">
        <v>648</v>
      </c>
      <c r="C61" s="56">
        <f>대조선박_손익!$C$25</f>
        <v>181800</v>
      </c>
      <c r="D61" s="3" t="s">
        <v>692</v>
      </c>
    </row>
    <row r="62" spans="2:8">
      <c r="B62" s="12" t="s">
        <v>650</v>
      </c>
      <c r="C62" s="56">
        <f>원가구조_기준!$C$45</f>
        <v>144058.08875772907</v>
      </c>
      <c r="D62" s="3" t="s">
        <v>1036</v>
      </c>
    </row>
    <row r="63" spans="2:8">
      <c r="B63" s="12" t="s">
        <v>652</v>
      </c>
      <c r="C63" s="40">
        <f>설정값!$D$17</f>
        <v>0</v>
      </c>
      <c r="D63" s="3"/>
    </row>
    <row r="64" spans="2:8">
      <c r="B64" s="12" t="s">
        <v>112</v>
      </c>
      <c r="C64" s="41">
        <f>설정값!$D$44</f>
        <v>0.05</v>
      </c>
      <c r="D64" s="3"/>
    </row>
    <row r="65" spans="2:25">
      <c r="B65" s="12" t="s">
        <v>653</v>
      </c>
      <c r="C65" s="40">
        <f>대조선박_손익!$F$116</f>
        <v>3998802000</v>
      </c>
      <c r="D65" s="3"/>
    </row>
    <row r="66" spans="2:25">
      <c r="B66" s="12" t="s">
        <v>654</v>
      </c>
      <c r="C66" s="40">
        <f>대조선박_손익!$G$116</f>
        <v>14376860287.165241</v>
      </c>
      <c r="D66" s="3"/>
    </row>
    <row r="67" spans="2:25">
      <c r="B67" s="12" t="s">
        <v>655</v>
      </c>
      <c r="C67" s="40">
        <f>대조선박_손익!$H$116</f>
        <v>0</v>
      </c>
      <c r="D67" s="3"/>
    </row>
    <row r="68" spans="2:25">
      <c r="B68" s="12" t="s">
        <v>656</v>
      </c>
      <c r="C68" s="40">
        <f>대조선박_손익!$F$117</f>
        <v>2438502311</v>
      </c>
      <c r="D68" s="3"/>
    </row>
    <row r="69" spans="2:25">
      <c r="B69" s="12" t="s">
        <v>657</v>
      </c>
      <c r="C69" s="40">
        <f>대조선박_손익!$G$117</f>
        <v>0</v>
      </c>
      <c r="D69" s="3"/>
    </row>
    <row r="70" spans="2:25">
      <c r="B70" s="12" t="s">
        <v>658</v>
      </c>
      <c r="C70" s="40">
        <f>대조선박_손익!$H$117</f>
        <v>540820215</v>
      </c>
      <c r="D70" s="3"/>
    </row>
    <row r="71" spans="2:25">
      <c r="B71" s="12" t="s">
        <v>382</v>
      </c>
      <c r="C71" s="40">
        <f>대조선박_손익!$C$34+대조선박_손익!$C$35</f>
        <v>3792443250</v>
      </c>
      <c r="D71" s="3" t="s">
        <v>693</v>
      </c>
    </row>
    <row r="72" spans="2:25">
      <c r="B72" s="19" t="s">
        <v>660</v>
      </c>
    </row>
    <row r="73" spans="2:25">
      <c r="B73" s="4" t="s">
        <v>75</v>
      </c>
      <c r="C73" s="4" t="s">
        <v>76</v>
      </c>
    </row>
    <row r="74" spans="2:25">
      <c r="B74" s="12" t="s">
        <v>661</v>
      </c>
      <c r="C74" s="56">
        <f>IF(AND($C$59="O",$C$58&gt;0),MAX($C$54,CEILING(($C$60)/$C$58,1)),$C$54)</f>
        <v>600</v>
      </c>
    </row>
    <row r="75" spans="2:25">
      <c r="B75" s="12" t="s">
        <v>369</v>
      </c>
      <c r="C75" s="40">
        <f>$C$60*$C$55+$C$57</f>
        <v>23000277600</v>
      </c>
    </row>
    <row r="76" spans="2:25">
      <c r="B76" s="12" t="s">
        <v>447</v>
      </c>
      <c r="C76" s="40">
        <f>($C$52+$C$53/$C$54*(IF(AND($C$59="O",$C$58&gt;0),MAX($C$54,CEILING(($C$60)/$C$58,1)),$C$54))+$C$56*($C$60))</f>
        <v>21496674798.979801</v>
      </c>
    </row>
    <row r="77" spans="2:25">
      <c r="B77" s="12" t="s">
        <v>662</v>
      </c>
      <c r="C77" s="40">
        <f>$C$75-$C$76</f>
        <v>1503602801.0201988</v>
      </c>
    </row>
    <row r="78" spans="2:25">
      <c r="B78" s="51" t="s">
        <v>8</v>
      </c>
      <c r="C78" s="71">
        <f>IFERROR($C$77/$C$75,0)</f>
        <v>6.5373245800311508E-2</v>
      </c>
    </row>
    <row r="79" spans="2:25">
      <c r="Q79" s="3" t="s">
        <v>1035</v>
      </c>
    </row>
    <row r="80" spans="2:25" ht="30" customHeight="1">
      <c r="B80" s="4" t="s">
        <v>112</v>
      </c>
      <c r="C80" s="4" t="s">
        <v>663</v>
      </c>
      <c r="D80" s="4" t="s">
        <v>694</v>
      </c>
      <c r="E80" s="4" t="s">
        <v>665</v>
      </c>
      <c r="F80" s="4" t="s">
        <v>666</v>
      </c>
      <c r="G80" s="4" t="s">
        <v>661</v>
      </c>
      <c r="H80" s="4" t="s">
        <v>417</v>
      </c>
      <c r="I80" s="4" t="s">
        <v>369</v>
      </c>
      <c r="J80" s="4" t="s">
        <v>138</v>
      </c>
      <c r="K80" s="4" t="s">
        <v>667</v>
      </c>
      <c r="L80" s="4" t="s">
        <v>668</v>
      </c>
      <c r="M80" s="4" t="s">
        <v>669</v>
      </c>
      <c r="N80" s="4" t="s">
        <v>670</v>
      </c>
      <c r="O80" s="4" t="s">
        <v>671</v>
      </c>
      <c r="Q80" s="4" t="s">
        <v>672</v>
      </c>
      <c r="R80" s="4" t="s">
        <v>673</v>
      </c>
      <c r="S80" s="73" t="s">
        <v>674</v>
      </c>
      <c r="T80" s="4" t="s">
        <v>675</v>
      </c>
      <c r="U80" s="73" t="s">
        <v>676</v>
      </c>
      <c r="V80" s="4" t="s">
        <v>677</v>
      </c>
      <c r="W80" s="73" t="s">
        <v>678</v>
      </c>
      <c r="X80" s="4" t="s">
        <v>679</v>
      </c>
      <c r="Y80" s="73" t="s">
        <v>680</v>
      </c>
    </row>
    <row r="81" spans="2:25">
      <c r="B81" s="83">
        <v>0</v>
      </c>
      <c r="C81" s="60">
        <f t="shared" ref="C81:C87" si="22">IF($Q81&lt;=0,"달성 불가",Y81)</f>
        <v>168865.31709514401</v>
      </c>
      <c r="D81" s="84">
        <f t="shared" ref="D81:D87" si="23">IF(ISNUMBER(C81),C81-$C$61,"")</f>
        <v>-12934.682904855988</v>
      </c>
      <c r="E81" s="40">
        <f t="shared" ref="E81:E87" si="24">IFERROR((($C$52+$C$53/$C$54*IF(AND($C$59="O",$C$58&gt;0),MAX($C$54,CEILING(($C$60)/$C$58,1)),$C$54)+$C$56*$C$60)/(1-$B81)-$C$57)/$C$60,"")</f>
        <v>111729.35753014192</v>
      </c>
      <c r="F81" s="56">
        <f t="shared" ref="F81:F87" si="25">IF(ISNUMBER(C81),C81/$C$54,"")</f>
        <v>281.44219515857333</v>
      </c>
      <c r="G81" s="56">
        <f t="shared" ref="G81:G87" si="26">IF(ISNUMBER(C81),IF(AND($C$59="O",$C$58&gt;0),MAX($C$54,CEILING((C81)/$C$58,1)),$C$54),"")</f>
        <v>600</v>
      </c>
      <c r="H81" s="41">
        <f t="shared" ref="H81:H87" si="27">IF(AND(ISNUMBER(C81),$C$58&gt;0),C81/($C$58*$C$54),"")</f>
        <v>0.46442606461810787</v>
      </c>
      <c r="I81" s="40">
        <f t="shared" ref="I81:I87" si="28">IF(ISNUMBER(C81),C81*$C$55+$C$57,"")</f>
        <v>21448115651.417282</v>
      </c>
      <c r="J81" s="40">
        <f t="shared" ref="J81:J87" si="29">IF(ISNUMBER(C81),$C$65+$C$66/$C$54*G81+$C$67/$C$62*C81+$C$63*C81,"")</f>
        <v>18375662287.165237</v>
      </c>
      <c r="K81" s="41">
        <f t="shared" ref="K81:K87" si="30">IF(ISNUMBER(C81),J81/I81,"")</f>
        <v>0.85674949659043742</v>
      </c>
      <c r="L81" s="40">
        <f t="shared" ref="L81:L87" si="31">IF(ISNUMBER(C81),$C$68+$C$69/$C$54*G81+$C$70/$C$62*C81,"")</f>
        <v>3072453364.2520452</v>
      </c>
      <c r="M81" s="41">
        <f t="shared" ref="M81:M87" si="32">IF(ISNUMBER(C81),L81/I81,"")</f>
        <v>0.14325050340956264</v>
      </c>
      <c r="N81" s="41">
        <f t="shared" ref="N81:N87" si="33">IF(ISNUMBER(C81),$C$71/I81,"")</f>
        <v>0.17681941442484703</v>
      </c>
      <c r="O81" s="41">
        <f t="shared" ref="O81:O87" si="34">IF(ISNUMBER(C81),(I81-J81-L81)/I81,"")</f>
        <v>-2.2232123602504716E-17</v>
      </c>
      <c r="Q81" s="40">
        <f t="shared" ref="Q81:Q87" si="35">(1-$B81)*$C$55-$C$56</f>
        <v>116245.81847736763</v>
      </c>
      <c r="R81" s="56">
        <f t="shared" ref="R81:R87" si="36">$C$54</f>
        <v>600</v>
      </c>
      <c r="S81" s="56">
        <f t="shared" ref="S81:S87" si="37">IF($Q81&lt;=0,0,MAX(0,($C$52+$C$53/$C$54*R81-(1-$B81)*$C$57)/$Q81))</f>
        <v>168865.31709514401</v>
      </c>
      <c r="T81" s="56">
        <f t="shared" ref="T81:T87" si="38">IF(AND($C$59="O",$C$58&gt;0),MAX($C$54,CEILING((S81)/$C$58,1)),$C$54)</f>
        <v>600</v>
      </c>
      <c r="U81" s="56">
        <f t="shared" ref="U81:U87" si="39">IF($Q81&lt;=0,0,MAX(0,($C$52+$C$53/$C$54*T81-(1-$B81)*$C$57)/$Q81))</f>
        <v>168865.31709514401</v>
      </c>
      <c r="V81" s="56">
        <f t="shared" ref="V81:V87" si="40">IF(AND($C$59="O",$C$58&gt;0),MAX($C$54,CEILING((U81)/$C$58,1)),$C$54)</f>
        <v>600</v>
      </c>
      <c r="W81" s="56">
        <f t="shared" ref="W81:W87" si="41">IF($Q81&lt;=0,0,MAX(0,($C$52+$C$53/$C$54*V81-(1-$B81)*$C$57)/$Q81))</f>
        <v>168865.31709514401</v>
      </c>
      <c r="X81" s="56">
        <f t="shared" ref="X81:X87" si="42">IF(AND($C$59="O",$C$58&gt;0),MAX($C$54,CEILING((W81)/$C$58,1)),$C$54)</f>
        <v>600</v>
      </c>
      <c r="Y81" s="56">
        <f t="shared" ref="Y81:Y87" si="43">IF($Q81&lt;=0,0,MAX(0,($C$52+$C$53/$C$54*X81-(1-$B81)*$C$57)/$Q81))</f>
        <v>168865.31709514401</v>
      </c>
    </row>
    <row r="82" spans="2:25">
      <c r="B82" s="85">
        <v>0.03</v>
      </c>
      <c r="C82" s="60">
        <f t="shared" si="22"/>
        <v>174577.41079058641</v>
      </c>
      <c r="D82" s="84">
        <f t="shared" si="23"/>
        <v>-7222.5892094135925</v>
      </c>
      <c r="E82" s="40">
        <f t="shared" si="24"/>
        <v>115386.37409966657</v>
      </c>
      <c r="F82" s="56">
        <f t="shared" si="25"/>
        <v>290.96235131764399</v>
      </c>
      <c r="G82" s="56">
        <f t="shared" si="26"/>
        <v>600</v>
      </c>
      <c r="H82" s="41">
        <f t="shared" si="27"/>
        <v>0.48013589326343897</v>
      </c>
      <c r="I82" s="40">
        <f t="shared" si="28"/>
        <v>22133566894.870369</v>
      </c>
      <c r="J82" s="40">
        <f t="shared" si="29"/>
        <v>18375662287.165237</v>
      </c>
      <c r="K82" s="41">
        <f t="shared" si="30"/>
        <v>0.83021694489847198</v>
      </c>
      <c r="L82" s="40">
        <f t="shared" si="31"/>
        <v>3093897600.8590198</v>
      </c>
      <c r="M82" s="41">
        <f t="shared" si="32"/>
        <v>0.13978305510152794</v>
      </c>
      <c r="N82" s="41">
        <f t="shared" si="33"/>
        <v>0.17134351946133586</v>
      </c>
      <c r="O82" s="41">
        <f t="shared" si="34"/>
        <v>3.0000000000000034E-2</v>
      </c>
      <c r="Q82" s="40">
        <f t="shared" si="35"/>
        <v>112645.81847736763</v>
      </c>
      <c r="R82" s="56">
        <f t="shared" si="36"/>
        <v>600</v>
      </c>
      <c r="S82" s="56">
        <f t="shared" si="37"/>
        <v>174577.41079058641</v>
      </c>
      <c r="T82" s="56">
        <f t="shared" si="38"/>
        <v>600</v>
      </c>
      <c r="U82" s="56">
        <f t="shared" si="39"/>
        <v>174577.41079058641</v>
      </c>
      <c r="V82" s="56">
        <f t="shared" si="40"/>
        <v>600</v>
      </c>
      <c r="W82" s="56">
        <f t="shared" si="41"/>
        <v>174577.41079058641</v>
      </c>
      <c r="X82" s="56">
        <f t="shared" si="42"/>
        <v>600</v>
      </c>
      <c r="Y82" s="56">
        <f t="shared" si="43"/>
        <v>174577.41079058641</v>
      </c>
    </row>
    <row r="83" spans="2:25">
      <c r="B83" s="85">
        <v>0.05</v>
      </c>
      <c r="C83" s="60">
        <f t="shared" si="22"/>
        <v>178592.72260931341</v>
      </c>
      <c r="D83" s="84">
        <f t="shared" si="23"/>
        <v>-3207.2773906865914</v>
      </c>
      <c r="E83" s="40">
        <f t="shared" si="24"/>
        <v>117952.70151687686</v>
      </c>
      <c r="F83" s="56">
        <f t="shared" si="25"/>
        <v>297.65453768218902</v>
      </c>
      <c r="G83" s="56">
        <f t="shared" si="26"/>
        <v>600</v>
      </c>
      <c r="H83" s="41">
        <f t="shared" si="27"/>
        <v>0.4911791050861205</v>
      </c>
      <c r="I83" s="40">
        <f t="shared" si="28"/>
        <v>22615404313.117611</v>
      </c>
      <c r="J83" s="40">
        <f t="shared" si="29"/>
        <v>18375662287.165237</v>
      </c>
      <c r="K83" s="41">
        <f t="shared" si="30"/>
        <v>0.81252857710382842</v>
      </c>
      <c r="L83" s="40">
        <f t="shared" si="31"/>
        <v>3108971810.2964921</v>
      </c>
      <c r="M83" s="41">
        <f t="shared" si="32"/>
        <v>0.13747142289617151</v>
      </c>
      <c r="N83" s="41">
        <f t="shared" si="33"/>
        <v>0.16769292281899509</v>
      </c>
      <c r="O83" s="41">
        <f t="shared" si="34"/>
        <v>5.0000000000000037E-2</v>
      </c>
      <c r="Q83" s="40">
        <f t="shared" si="35"/>
        <v>110245.81847736763</v>
      </c>
      <c r="R83" s="56">
        <f t="shared" si="36"/>
        <v>600</v>
      </c>
      <c r="S83" s="56">
        <f t="shared" si="37"/>
        <v>178592.72260931341</v>
      </c>
      <c r="T83" s="56">
        <f t="shared" si="38"/>
        <v>600</v>
      </c>
      <c r="U83" s="56">
        <f t="shared" si="39"/>
        <v>178592.72260931341</v>
      </c>
      <c r="V83" s="56">
        <f t="shared" si="40"/>
        <v>600</v>
      </c>
      <c r="W83" s="56">
        <f t="shared" si="41"/>
        <v>178592.72260931341</v>
      </c>
      <c r="X83" s="56">
        <f t="shared" si="42"/>
        <v>600</v>
      </c>
      <c r="Y83" s="56">
        <f t="shared" si="43"/>
        <v>178592.72260931341</v>
      </c>
    </row>
    <row r="84" spans="2:25">
      <c r="B84" s="85">
        <v>0.08</v>
      </c>
      <c r="C84" s="60">
        <f t="shared" si="22"/>
        <v>184954.54850253876</v>
      </c>
      <c r="D84" s="84">
        <f t="shared" si="23"/>
        <v>3154.5485025387607</v>
      </c>
      <c r="E84" s="40">
        <f t="shared" si="24"/>
        <v>122011.40411692137</v>
      </c>
      <c r="F84" s="56">
        <f t="shared" si="25"/>
        <v>308.2575808375646</v>
      </c>
      <c r="G84" s="56">
        <f t="shared" si="26"/>
        <v>600</v>
      </c>
      <c r="H84" s="41">
        <f t="shared" si="27"/>
        <v>0.50867587596957853</v>
      </c>
      <c r="I84" s="40">
        <f t="shared" si="28"/>
        <v>23378823420.304653</v>
      </c>
      <c r="J84" s="40">
        <f t="shared" si="29"/>
        <v>18375662287.165237</v>
      </c>
      <c r="K84" s="41">
        <f t="shared" si="30"/>
        <v>0.7859960254118632</v>
      </c>
      <c r="L84" s="40">
        <f t="shared" si="31"/>
        <v>3132855259.5150428</v>
      </c>
      <c r="M84" s="41">
        <f t="shared" si="32"/>
        <v>0.13400397458813681</v>
      </c>
      <c r="N84" s="41">
        <f t="shared" si="33"/>
        <v>0.16221702785548392</v>
      </c>
      <c r="O84" s="41">
        <f t="shared" si="34"/>
        <v>8.0000000000000029E-2</v>
      </c>
      <c r="Q84" s="40">
        <f t="shared" si="35"/>
        <v>106645.81847736763</v>
      </c>
      <c r="R84" s="56">
        <f t="shared" si="36"/>
        <v>600</v>
      </c>
      <c r="S84" s="56">
        <f t="shared" si="37"/>
        <v>184954.54850253876</v>
      </c>
      <c r="T84" s="56">
        <f t="shared" si="38"/>
        <v>600</v>
      </c>
      <c r="U84" s="56">
        <f t="shared" si="39"/>
        <v>184954.54850253876</v>
      </c>
      <c r="V84" s="56">
        <f t="shared" si="40"/>
        <v>600</v>
      </c>
      <c r="W84" s="56">
        <f t="shared" si="41"/>
        <v>184954.54850253876</v>
      </c>
      <c r="X84" s="56">
        <f t="shared" si="42"/>
        <v>600</v>
      </c>
      <c r="Y84" s="56">
        <f t="shared" si="43"/>
        <v>184954.54850253876</v>
      </c>
    </row>
    <row r="85" spans="2:25">
      <c r="B85" s="85">
        <v>0.1</v>
      </c>
      <c r="C85" s="60">
        <f t="shared" si="22"/>
        <v>189439.87439124679</v>
      </c>
      <c r="D85" s="84">
        <f t="shared" si="23"/>
        <v>7639.8743912467908</v>
      </c>
      <c r="E85" s="40">
        <f t="shared" si="24"/>
        <v>124867.52816880457</v>
      </c>
      <c r="F85" s="56">
        <f t="shared" si="25"/>
        <v>315.73312398541134</v>
      </c>
      <c r="G85" s="56">
        <f t="shared" si="26"/>
        <v>600</v>
      </c>
      <c r="H85" s="41">
        <f t="shared" si="27"/>
        <v>0.52101175575150382</v>
      </c>
      <c r="I85" s="40">
        <f t="shared" si="28"/>
        <v>23917062526.949615</v>
      </c>
      <c r="J85" s="40">
        <f t="shared" si="29"/>
        <v>18375662287.165237</v>
      </c>
      <c r="K85" s="41">
        <f t="shared" si="30"/>
        <v>0.76830765761721953</v>
      </c>
      <c r="L85" s="40">
        <f t="shared" si="31"/>
        <v>3149693987.0894151</v>
      </c>
      <c r="M85" s="41">
        <f t="shared" si="32"/>
        <v>0.13169234238278038</v>
      </c>
      <c r="N85" s="41">
        <f t="shared" si="33"/>
        <v>0.15856643121314315</v>
      </c>
      <c r="O85" s="41">
        <f t="shared" si="34"/>
        <v>0.10000000000000006</v>
      </c>
      <c r="Q85" s="40">
        <f t="shared" si="35"/>
        <v>104245.81847736763</v>
      </c>
      <c r="R85" s="56">
        <f t="shared" si="36"/>
        <v>600</v>
      </c>
      <c r="S85" s="56">
        <f t="shared" si="37"/>
        <v>189439.87439124679</v>
      </c>
      <c r="T85" s="56">
        <f t="shared" si="38"/>
        <v>600</v>
      </c>
      <c r="U85" s="56">
        <f t="shared" si="39"/>
        <v>189439.87439124679</v>
      </c>
      <c r="V85" s="56">
        <f t="shared" si="40"/>
        <v>600</v>
      </c>
      <c r="W85" s="56">
        <f t="shared" si="41"/>
        <v>189439.87439124679</v>
      </c>
      <c r="X85" s="56">
        <f t="shared" si="42"/>
        <v>600</v>
      </c>
      <c r="Y85" s="56">
        <f t="shared" si="43"/>
        <v>189439.87439124679</v>
      </c>
    </row>
    <row r="86" spans="2:25">
      <c r="B86" s="85">
        <v>0.15</v>
      </c>
      <c r="C86" s="60">
        <f t="shared" si="22"/>
        <v>201611.92552666445</v>
      </c>
      <c r="D86" s="84">
        <f t="shared" si="23"/>
        <v>19811.925526664447</v>
      </c>
      <c r="E86" s="40">
        <f t="shared" si="24"/>
        <v>132595.86383860611</v>
      </c>
      <c r="F86" s="56">
        <f t="shared" si="25"/>
        <v>336.0198758777741</v>
      </c>
      <c r="G86" s="56">
        <f t="shared" si="26"/>
        <v>600</v>
      </c>
      <c r="H86" s="41">
        <f t="shared" si="27"/>
        <v>0.55448824402272945</v>
      </c>
      <c r="I86" s="40">
        <f t="shared" si="28"/>
        <v>25377708663.199734</v>
      </c>
      <c r="J86" s="40">
        <f t="shared" si="29"/>
        <v>18375662287.165237</v>
      </c>
      <c r="K86" s="41">
        <f t="shared" si="30"/>
        <v>0.72408673813061075</v>
      </c>
      <c r="L86" s="40">
        <f t="shared" si="31"/>
        <v>3195390076.5545363</v>
      </c>
      <c r="M86" s="41">
        <f t="shared" si="32"/>
        <v>0.12591326186938925</v>
      </c>
      <c r="N86" s="41">
        <f t="shared" si="33"/>
        <v>0.14943993960729124</v>
      </c>
      <c r="O86" s="41">
        <f t="shared" si="34"/>
        <v>0.15</v>
      </c>
      <c r="Q86" s="40">
        <f t="shared" si="35"/>
        <v>98245.818477367633</v>
      </c>
      <c r="R86" s="56">
        <f t="shared" si="36"/>
        <v>600</v>
      </c>
      <c r="S86" s="56">
        <f t="shared" si="37"/>
        <v>201611.92552666445</v>
      </c>
      <c r="T86" s="56">
        <f t="shared" si="38"/>
        <v>600</v>
      </c>
      <c r="U86" s="56">
        <f t="shared" si="39"/>
        <v>201611.92552666445</v>
      </c>
      <c r="V86" s="56">
        <f t="shared" si="40"/>
        <v>600</v>
      </c>
      <c r="W86" s="56">
        <f t="shared" si="41"/>
        <v>201611.92552666445</v>
      </c>
      <c r="X86" s="56">
        <f t="shared" si="42"/>
        <v>600</v>
      </c>
      <c r="Y86" s="56">
        <f t="shared" si="43"/>
        <v>201611.92552666445</v>
      </c>
    </row>
    <row r="87" spans="2:25">
      <c r="B87" s="86">
        <f>$C$64</f>
        <v>0.05</v>
      </c>
      <c r="C87" s="68">
        <f t="shared" si="22"/>
        <v>178592.72260931341</v>
      </c>
      <c r="D87" s="87">
        <f t="shared" si="23"/>
        <v>-3207.2773906865914</v>
      </c>
      <c r="E87" s="49">
        <f t="shared" si="24"/>
        <v>117952.70151687686</v>
      </c>
      <c r="F87" s="29">
        <f t="shared" si="25"/>
        <v>297.65453768218902</v>
      </c>
      <c r="G87" s="29">
        <f t="shared" si="26"/>
        <v>600</v>
      </c>
      <c r="H87" s="48">
        <f t="shared" si="27"/>
        <v>0.4911791050861205</v>
      </c>
      <c r="I87" s="49">
        <f t="shared" si="28"/>
        <v>22615404313.117611</v>
      </c>
      <c r="J87" s="49">
        <f t="shared" si="29"/>
        <v>18375662287.165237</v>
      </c>
      <c r="K87" s="48">
        <f t="shared" si="30"/>
        <v>0.81252857710382842</v>
      </c>
      <c r="L87" s="49">
        <f t="shared" si="31"/>
        <v>3108971810.2964921</v>
      </c>
      <c r="M87" s="48">
        <f t="shared" si="32"/>
        <v>0.13747142289617151</v>
      </c>
      <c r="N87" s="48">
        <f t="shared" si="33"/>
        <v>0.16769292281899509</v>
      </c>
      <c r="O87" s="48">
        <f t="shared" si="34"/>
        <v>5.0000000000000037E-2</v>
      </c>
      <c r="Q87" s="40">
        <f t="shared" si="35"/>
        <v>110245.81847736763</v>
      </c>
      <c r="R87" s="56">
        <f t="shared" si="36"/>
        <v>600</v>
      </c>
      <c r="S87" s="56">
        <f t="shared" si="37"/>
        <v>178592.72260931341</v>
      </c>
      <c r="T87" s="56">
        <f t="shared" si="38"/>
        <v>600</v>
      </c>
      <c r="U87" s="56">
        <f t="shared" si="39"/>
        <v>178592.72260931341</v>
      </c>
      <c r="V87" s="56">
        <f t="shared" si="40"/>
        <v>600</v>
      </c>
      <c r="W87" s="56">
        <f t="shared" si="41"/>
        <v>178592.72260931341</v>
      </c>
      <c r="X87" s="56">
        <f t="shared" si="42"/>
        <v>600</v>
      </c>
      <c r="Y87" s="56">
        <f t="shared" si="43"/>
        <v>178592.72260931341</v>
      </c>
    </row>
    <row r="88" spans="2:25">
      <c r="B88" s="3" t="s">
        <v>681</v>
      </c>
    </row>
    <row r="90" spans="2:25">
      <c r="B90" s="4" t="s">
        <v>682</v>
      </c>
      <c r="C90" s="4" t="s">
        <v>76</v>
      </c>
      <c r="D90" s="4" t="s">
        <v>683</v>
      </c>
    </row>
    <row r="91" spans="2:25">
      <c r="B91" s="51" t="s">
        <v>663</v>
      </c>
      <c r="C91" s="68">
        <f>C87</f>
        <v>178592.72260931341</v>
      </c>
      <c r="D91" s="3" t="str">
        <f>IF(ISNUMBER(C87),"현재 "&amp;TEXT($C$61,"#,##0")&amp;"명 대비 "&amp;TEXT(C87/$C$61-1,"+0.0%;-0.0%"),"운임 ≤ 변동비")</f>
        <v>현재 181,800명 대비 -1.8%</v>
      </c>
    </row>
    <row r="92" spans="2:25">
      <c r="B92" s="51" t="s">
        <v>684</v>
      </c>
      <c r="C92" s="47">
        <f>E87</f>
        <v>117952.70151687686</v>
      </c>
      <c r="D92" s="3" t="str">
        <f>"승객 "&amp;TEXT($C$60,"#,##0")&amp;"명 고정 시 · 현재 대비 "&amp;TEXT(E87/$C$55-1,"+0.0%;-0.0%")</f>
        <v>승객 181,800명 고정 시 · 현재 대비 -1.7%</v>
      </c>
    </row>
    <row r="93" spans="2:25">
      <c r="B93" s="51" t="s">
        <v>685</v>
      </c>
      <c r="C93" s="47">
        <f>I87</f>
        <v>22615404313.117611</v>
      </c>
      <c r="D93" s="3" t="str">
        <f>IF(ISNUMBER(I87),"현재 설정 "&amp;TEXT($C$75/1000000,"#,##0")&amp;"백만 대비 "&amp;TEXT(I87/$C$75-1,"+0.0%;-0.0%"),"")</f>
        <v>현재 설정 23,000백만 대비 -1.7%</v>
      </c>
    </row>
    <row r="94" spans="2:25">
      <c r="B94" s="51" t="s">
        <v>686</v>
      </c>
      <c r="C94" s="47">
        <f>IF(ISNUMBER(C87),J87+L87,"")</f>
        <v>21484634097.461731</v>
      </c>
      <c r="D94" s="3" t="str">
        <f>IF(ISNUMBER(C87),"영업이익 "&amp;TEXT((I87-J87-L87)/1000000,"#,##0")&amp;"백만 확보","")</f>
        <v>영업이익 1,131백만 확보</v>
      </c>
    </row>
    <row r="96" spans="2:25" ht="16.5">
      <c r="B96" s="25" t="s">
        <v>695</v>
      </c>
    </row>
    <row r="97" spans="2:9" ht="25.5">
      <c r="B97" s="4" t="s">
        <v>249</v>
      </c>
      <c r="C97" s="4" t="s">
        <v>369</v>
      </c>
      <c r="D97" s="4" t="s">
        <v>138</v>
      </c>
      <c r="E97" s="4" t="s">
        <v>667</v>
      </c>
      <c r="F97" s="4" t="s">
        <v>668</v>
      </c>
      <c r="G97" s="4" t="s">
        <v>669</v>
      </c>
      <c r="H97" s="4" t="s">
        <v>696</v>
      </c>
      <c r="I97" s="4" t="s">
        <v>8</v>
      </c>
    </row>
    <row r="98" spans="2:9">
      <c r="B98" s="51" t="s">
        <v>697</v>
      </c>
      <c r="C98" s="40">
        <f>원가구조_기준!$C$7</f>
        <v>13146609166</v>
      </c>
      <c r="D98" s="40">
        <f>원가구조_기준!$C$11</f>
        <v>12246808749</v>
      </c>
      <c r="E98" s="41">
        <f>D98/C98</f>
        <v>0.93155646405560755</v>
      </c>
      <c r="F98" s="40">
        <f>원가구조_기준!$C$12</f>
        <v>2979322526</v>
      </c>
      <c r="G98" s="41">
        <f>F98/C98</f>
        <v>0.22662288719323748</v>
      </c>
      <c r="H98" s="41">
        <f>원가구조_기준!$C$21/C98</f>
        <v>0.28847311136380976</v>
      </c>
      <c r="I98" s="88">
        <f>원가구조_기준!$C$13/C98</f>
        <v>-0.15817935124884505</v>
      </c>
    </row>
    <row r="99" spans="2:9">
      <c r="B99" s="51" t="s">
        <v>698</v>
      </c>
      <c r="C99" s="40">
        <f>대조선박_손익!$C$48</f>
        <v>23000277600</v>
      </c>
      <c r="D99" s="40">
        <f>대조선박_손익!$C$52</f>
        <v>18375662287.165241</v>
      </c>
      <c r="E99" s="41">
        <f>D99/C99</f>
        <v>0.79893219580816022</v>
      </c>
      <c r="F99" s="40">
        <f>대조선박_손익!$C$66</f>
        <v>3121012511.8145642</v>
      </c>
      <c r="G99" s="41">
        <f>F99/C99</f>
        <v>0.13569455839152847</v>
      </c>
      <c r="H99" s="41">
        <f>(대조선박_손익!$C$34+대조선박_손익!$C$35)/C99</f>
        <v>0.16488684684397026</v>
      </c>
      <c r="I99" s="71">
        <f>IFERROR((대조선박_손익!$C$87)/C99,0)</f>
        <v>6.5373245800311314E-2</v>
      </c>
    </row>
    <row r="100" spans="2:9">
      <c r="B100" s="3" t="s">
        <v>699</v>
      </c>
    </row>
  </sheetData>
  <mergeCells count="2">
    <mergeCell ref="D5:H5"/>
    <mergeCell ref="D51:H51"/>
  </mergeCells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J32"/>
  <sheetViews>
    <sheetView zoomScale="85" zoomScaleNormal="85" workbookViewId="0">
      <selection activeCell="C15" sqref="C15"/>
    </sheetView>
  </sheetViews>
  <sheetFormatPr defaultColWidth="8.7109375" defaultRowHeight="15"/>
  <cols>
    <col min="1" max="1" width="2" customWidth="1"/>
    <col min="2" max="5" width="14" customWidth="1"/>
    <col min="6" max="6" width="3" customWidth="1"/>
    <col min="7" max="10" width="14" customWidth="1"/>
  </cols>
  <sheetData>
    <row r="1" spans="2:10" ht="26.25">
      <c r="B1" s="2" t="s">
        <v>700</v>
      </c>
    </row>
    <row r="2" spans="2:10">
      <c r="B2" s="3" t="s">
        <v>701</v>
      </c>
    </row>
    <row r="4" spans="2:10" ht="16.5">
      <c r="B4" s="25" t="s">
        <v>702</v>
      </c>
      <c r="G4" s="25" t="s">
        <v>703</v>
      </c>
    </row>
    <row r="5" spans="2:10">
      <c r="B5" s="4" t="s">
        <v>704</v>
      </c>
      <c r="C5" s="4" t="s">
        <v>705</v>
      </c>
      <c r="D5" s="4" t="s">
        <v>706</v>
      </c>
      <c r="E5" s="4" t="s">
        <v>707</v>
      </c>
      <c r="G5" s="4" t="s">
        <v>704</v>
      </c>
      <c r="H5" s="4" t="s">
        <v>705</v>
      </c>
      <c r="I5" s="4" t="s">
        <v>706</v>
      </c>
      <c r="J5" s="4" t="s">
        <v>707</v>
      </c>
    </row>
    <row r="6" spans="2:10">
      <c r="B6" s="12" t="s">
        <v>708</v>
      </c>
      <c r="C6" s="56">
        <f>IF(ISNUMBER(목표이익률_지표!$C$35),목표이익률_지표!$C$35,"")</f>
        <v>168466.82320227727</v>
      </c>
      <c r="D6" s="40">
        <f>IF(ISNUMBER(C6),(C6*목표이익률_지표!$C$9+목표이익률_지표!$C$11)/1000000,"")</f>
        <v>15317.766094842564</v>
      </c>
      <c r="E6" s="40">
        <f>IF(ISNUMBER(C6),(목표이익률_지표!$C$6+목표이익률_지표!$C$7/목표이익률_지표!$C$8*IF(AND(목표이익률_지표!$C$13="O",목표이익률_지표!$C$12&gt;0),MAX(목표이익률_지표!$C$8,CEILING(C6/목표이익률_지표!$C$12,1)),목표이익률_지표!$C$8)+목표이익률_지표!$C$10*C6)/1000000,"")</f>
        <v>15317.766094842564</v>
      </c>
      <c r="G6" s="12" t="s">
        <v>708</v>
      </c>
      <c r="H6" s="56">
        <f>IF(ISNUMBER(목표이익률_지표!$C$81),목표이익률_지표!$C$81,"")</f>
        <v>168865.31709514401</v>
      </c>
      <c r="I6" s="40">
        <f>IF(ISNUMBER(H6),(H6*목표이익률_지표!$C$55+목표이익률_지표!$C$57)/1000000,"")</f>
        <v>21448.115651417284</v>
      </c>
      <c r="J6" s="40">
        <f>IF(ISNUMBER(H6),(목표이익률_지표!$C$52+목표이익률_지표!$C$53/목표이익률_지표!$C$54*IF(AND(목표이익률_지표!$C$59="O",목표이익률_지표!$C$58&gt;0),MAX(목표이익률_지표!$C$54,CEILING(H6/목표이익률_지표!$C$58,1)),목표이익률_지표!$C$54)+목표이익률_지표!$C$56*H6)/1000000,"")</f>
        <v>21448.115651417284</v>
      </c>
    </row>
    <row r="7" spans="2:10">
      <c r="B7" s="12" t="s">
        <v>709</v>
      </c>
      <c r="C7" s="56">
        <f>IF(ISNUMBER(목표이익률_지표!$C$41),목표이익률_지표!$C$41,"")</f>
        <v>177951.70560211068</v>
      </c>
      <c r="D7" s="40">
        <f>IF(ISNUMBER(C7),(C7*목표이익률_지표!$C$9+목표이익률_지표!$C$11)/1000000,"")</f>
        <v>16161.446384307745</v>
      </c>
      <c r="E7" s="40">
        <f>IF(ISNUMBER(C7),(목표이익률_지표!$C$6+목표이익률_지표!$C$7/목표이익률_지표!$C$8*IF(AND(목표이익률_지표!$C$13="O",목표이익률_지표!$C$12&gt;0),MAX(목표이익률_지표!$C$8,CEILING(C7/목표이익률_지표!$C$12,1)),목표이익률_지표!$C$8)+목표이익률_지표!$C$10*C7)/1000000,"")</f>
        <v>15353.374065092357</v>
      </c>
      <c r="G7" s="12" t="s">
        <v>709</v>
      </c>
      <c r="H7" s="56">
        <f>IF(ISNUMBER(목표이익률_지표!$C$87),목표이익률_지표!$C$87,"")</f>
        <v>178592.72260931341</v>
      </c>
      <c r="I7" s="40">
        <f>IF(ISNUMBER(H7),(H7*목표이익률_지표!$C$55+목표이익률_지표!$C$57)/1000000,"")</f>
        <v>22615.404313117611</v>
      </c>
      <c r="J7" s="40">
        <f>IF(ISNUMBER(H7),(목표이익률_지표!$C$52+목표이익률_지표!$C$53/목표이익률_지표!$C$54*IF(AND(목표이익률_지표!$C$59="O",목표이익률_지표!$C$58&gt;0),MAX(목표이익률_지표!$C$54,CEILING(H7/목표이익률_지표!$C$58,1)),목표이익률_지표!$C$54)+목표이익률_지표!$C$56*H7)/1000000,"")</f>
        <v>21484.634097461731</v>
      </c>
    </row>
    <row r="8" spans="2:10">
      <c r="B8" s="12" t="s">
        <v>710</v>
      </c>
      <c r="C8" s="56">
        <f>IF(ISNUMBER(목표이익률_지표!$C$15),목표이익률_지표!$C$15,"")</f>
        <v>144058.08875772907</v>
      </c>
      <c r="D8" s="40">
        <f>IF(ISNUMBER(C8),(C8*목표이익률_지표!$C$9+목표이익률_지표!$C$11)/1000000,"")</f>
        <v>13146.609166</v>
      </c>
      <c r="E8" s="40">
        <f>IF(ISNUMBER(C8),(목표이익률_지표!$C$6+목표이익률_지표!$C$7/목표이익률_지표!$C$8*IF(AND(목표이익률_지표!$C$13="O",목표이익률_지표!$C$12&gt;0),MAX(목표이익률_지표!$C$8,CEILING(C8/목표이익률_지표!$C$12,1)),목표이익률_지표!$C$8)+목표이익률_지표!$C$10*C8)/1000000,"")</f>
        <v>15226.131275</v>
      </c>
      <c r="G8" s="12" t="s">
        <v>710</v>
      </c>
      <c r="H8" s="56">
        <f>IF(ISNUMBER(목표이익률_지표!$C$61),목표이익률_지표!$C$61,"")</f>
        <v>181800</v>
      </c>
      <c r="I8" s="40">
        <f>IF(ISNUMBER(H8),(H8*목표이익률_지표!$C$55+목표이익률_지표!$C$57)/1000000,"")</f>
        <v>23000.277600000001</v>
      </c>
      <c r="J8" s="40">
        <f>IF(ISNUMBER(H8),(목표이익률_지표!$C$52+목표이익률_지표!$C$53/목표이익률_지표!$C$54*IF(AND(목표이익률_지표!$C$59="O",목표이익률_지표!$C$58&gt;0),MAX(목표이익률_지표!$C$54,CEILING(H8/목표이익률_지표!$C$58,1)),목표이익률_지표!$C$54)+목표이익률_지표!$C$56*H8)/1000000,"")</f>
        <v>21496.674798979802</v>
      </c>
    </row>
    <row r="9" spans="2:10">
      <c r="B9" s="12" t="s">
        <v>711</v>
      </c>
      <c r="C9" s="56">
        <f>MAX(C6:C8,목표이익률_지표!$C$14,1)*1.25</f>
        <v>222439.63200263836</v>
      </c>
      <c r="G9" s="12" t="s">
        <v>711</v>
      </c>
      <c r="H9" s="56">
        <f>MAX(H6:H8,목표이익률_지표!$C$60,1)*1.25</f>
        <v>227250</v>
      </c>
    </row>
    <row r="11" spans="2:10">
      <c r="B11" s="4" t="s">
        <v>705</v>
      </c>
      <c r="C11" s="4" t="s">
        <v>369</v>
      </c>
      <c r="D11" s="4" t="s">
        <v>447</v>
      </c>
      <c r="E11" s="4" t="s">
        <v>662</v>
      </c>
      <c r="G11" s="4" t="s">
        <v>705</v>
      </c>
      <c r="H11" s="4" t="s">
        <v>369</v>
      </c>
      <c r="I11" s="4" t="s">
        <v>447</v>
      </c>
      <c r="J11" s="4" t="s">
        <v>662</v>
      </c>
    </row>
    <row r="12" spans="2:10">
      <c r="B12" s="56">
        <f>ROUND($C$9*0/20,0)</f>
        <v>0</v>
      </c>
      <c r="C12" s="40">
        <f>(B12*목표이익률_지표!$C$9+목표이익률_지표!$C$11)/1000000</f>
        <v>332.64217100000002</v>
      </c>
      <c r="D12" s="40">
        <f>(목표이익률_지표!$C$6+목표이익률_지표!$C$7/목표이익률_지표!$C$8*IF(AND(목표이익률_지표!$C$13="O",목표이익률_지표!$C$12&gt;0),MAX(목표이익률_지표!$C$8,CEILING(B12/목표이익률_지표!$C$12,1)),목표이익률_지표!$C$8)+목표이익률_지표!$C$10*B12)/1000000</f>
        <v>14685.31106</v>
      </c>
      <c r="E12" s="40">
        <f t="shared" ref="E12:E32" si="0">C12-D12</f>
        <v>-14352.668889</v>
      </c>
      <c r="G12" s="56">
        <f>ROUND($H$9*0/20,0)</f>
        <v>0</v>
      </c>
      <c r="H12" s="40">
        <f>(G12*목표이익률_지표!$C$55+목표이익률_지표!$C$57)/1000000</f>
        <v>1184.2775999999999</v>
      </c>
      <c r="I12" s="40">
        <f>(목표이익률_지표!$C$52+목표이익률_지표!$C$53/목표이익률_지표!$C$54*IF(AND(목표이익률_지표!$C$59="O",목표이익률_지표!$C$58&gt;0),MAX(목표이익률_지표!$C$54,CEILING(G12/목표이익률_지표!$C$58,1)),목표이익률_지표!$C$54)+목표이익률_지표!$C$56*G12)/1000000</f>
        <v>20814.164598165236</v>
      </c>
      <c r="J12" s="40">
        <f t="shared" ref="J12:J32" si="1">H12-I12</f>
        <v>-19629.886998165235</v>
      </c>
    </row>
    <row r="13" spans="2:10">
      <c r="B13" s="56">
        <f>ROUND($C$9*1/20,0)</f>
        <v>11122</v>
      </c>
      <c r="C13" s="40">
        <f>(B13*목표이익률_지표!$C$9+목표이익률_지표!$C$11)/1000000</f>
        <v>1321.9440709999999</v>
      </c>
      <c r="D13" s="40">
        <f>(목표이익률_지표!$C$6+목표이익률_지표!$C$7/목표이익률_지표!$C$8*IF(AND(목표이익률_지표!$C$13="O",목표이익률_지표!$C$12&gt;0),MAX(목표이익률_지표!$C$8,CEILING(B13/목표이익률_지표!$C$12,1)),목표이익률_지표!$C$8)+목표이익률_지표!$C$10*B13)/1000000</f>
        <v>14727.065066894716</v>
      </c>
      <c r="E13" s="40">
        <f t="shared" si="0"/>
        <v>-13405.120995894717</v>
      </c>
      <c r="G13" s="56">
        <f>ROUND($H$9*1/20,0)</f>
        <v>11363</v>
      </c>
      <c r="H13" s="40">
        <f>(G13*목표이익률_지표!$C$55+목표이익률_지표!$C$57)/1000000</f>
        <v>2547.8375999999998</v>
      </c>
      <c r="I13" s="40">
        <f>(목표이익률_지표!$C$52+목표이익률_지표!$C$53/목표이익률_지표!$C$54*IF(AND(목표이익률_지표!$C$59="O",목표이익률_지표!$C$58&gt;0),MAX(목표이익률_지표!$C$54,CEILING(G13/목표이익률_지표!$C$58,1)),목표이익률_지표!$C$54)+목표이익률_지표!$C$56*G13)/1000000</f>
        <v>20856.823362806907</v>
      </c>
      <c r="J13" s="40">
        <f t="shared" si="1"/>
        <v>-18308.985762806908</v>
      </c>
    </row>
    <row r="14" spans="2:10">
      <c r="B14" s="56">
        <f>ROUND($C$9*2/20,0)</f>
        <v>22244</v>
      </c>
      <c r="C14" s="40">
        <f>(B14*목표이익률_지표!$C$9+목표이익률_지표!$C$11)/1000000</f>
        <v>2311.2459709999998</v>
      </c>
      <c r="D14" s="40">
        <f>(목표이익률_지표!$C$6+목표이익률_지표!$C$7/목표이익률_지표!$C$8*IF(AND(목표이익률_지표!$C$13="O",목표이익률_지표!$C$12&gt;0),MAX(목표이익률_지표!$C$8,CEILING(B14/목표이익률_지표!$C$12,1)),목표이익률_지표!$C$8)+목표이익률_지표!$C$10*B14)/1000000</f>
        <v>14768.819073789435</v>
      </c>
      <c r="E14" s="40">
        <f t="shared" si="0"/>
        <v>-12457.573102789434</v>
      </c>
      <c r="G14" s="56">
        <f>ROUND($H$9*2/20,0)</f>
        <v>22725</v>
      </c>
      <c r="H14" s="40">
        <f>(G14*목표이익률_지표!$C$55+목표이익률_지표!$C$57)/1000000</f>
        <v>3911.2775999999999</v>
      </c>
      <c r="I14" s="40">
        <f>(목표이익률_지표!$C$52+목표이익률_지표!$C$53/목표이익률_지표!$C$54*IF(AND(목표이익률_지표!$C$59="O",목표이익률_지표!$C$58&gt;0),MAX(목표이익률_지표!$C$54,CEILING(G14/목표이익률_지표!$C$58,1)),목표이익률_지표!$C$54)+목표이익률_지표!$C$56*G14)/1000000</f>
        <v>20899.478373267058</v>
      </c>
      <c r="J14" s="40">
        <f t="shared" si="1"/>
        <v>-16988.200773267057</v>
      </c>
    </row>
    <row r="15" spans="2:10">
      <c r="B15" s="56">
        <f>ROUND($C$9*3/20,0)</f>
        <v>33366</v>
      </c>
      <c r="C15" s="40">
        <f>(B15*목표이익률_지표!$C$9+목표이익률_지표!$C$11)/1000000</f>
        <v>3300.5478710000002</v>
      </c>
      <c r="D15" s="40">
        <f>(목표이익률_지표!$C$6+목표이익률_지표!$C$7/목표이익률_지표!$C$8*IF(AND(목표이익률_지표!$C$13="O",목표이익률_지표!$C$12&gt;0),MAX(목표이익률_지표!$C$8,CEILING(B15/목표이익률_지표!$C$12,1)),목표이익률_지표!$C$8)+목표이익률_지표!$C$10*B15)/1000000</f>
        <v>14810.573080684151</v>
      </c>
      <c r="E15" s="40">
        <f t="shared" si="0"/>
        <v>-11510.02520968415</v>
      </c>
      <c r="G15" s="56">
        <f>ROUND($H$9*3/20,0)</f>
        <v>34088</v>
      </c>
      <c r="H15" s="40">
        <f>(G15*목표이익률_지표!$C$55+목표이익률_지표!$C$57)/1000000</f>
        <v>5274.8375999999998</v>
      </c>
      <c r="I15" s="40">
        <f>(목표이익률_지표!$C$52+목표이익률_지표!$C$53/목표이익률_지표!$C$54*IF(AND(목표이익률_지표!$C$59="O",목표이익률_지표!$C$58&gt;0),MAX(목표이익률_지표!$C$54,CEILING(G15/목표이익률_지표!$C$58,1)),목표이익률_지표!$C$54)+목표이익률_지표!$C$56*G15)/1000000</f>
        <v>20942.137137908729</v>
      </c>
      <c r="J15" s="40">
        <f t="shared" si="1"/>
        <v>-15667.29953790873</v>
      </c>
    </row>
    <row r="16" spans="2:10">
      <c r="B16" s="56">
        <f>ROUND($C$9*4/20,0)</f>
        <v>44488</v>
      </c>
      <c r="C16" s="40">
        <f>(B16*목표이익률_지표!$C$9+목표이익률_지표!$C$11)/1000000</f>
        <v>4289.8497710000001</v>
      </c>
      <c r="D16" s="40">
        <f>(목표이익률_지표!$C$6+목표이익률_지표!$C$7/목표이익률_지표!$C$8*IF(AND(목표이익률_지표!$C$13="O",목표이익률_지표!$C$12&gt;0),MAX(목표이익률_지표!$C$8,CEILING(B16/목표이익률_지표!$C$12,1)),목표이익률_지표!$C$8)+목표이익률_지표!$C$10*B16)/1000000</f>
        <v>14852.327087578869</v>
      </c>
      <c r="E16" s="40">
        <f t="shared" si="0"/>
        <v>-10562.477316578868</v>
      </c>
      <c r="G16" s="56">
        <f>ROUND($H$9*4/20,0)</f>
        <v>45450</v>
      </c>
      <c r="H16" s="40">
        <f>(G16*목표이익률_지표!$C$55+목표이익률_지표!$C$57)/1000000</f>
        <v>6638.2776000000003</v>
      </c>
      <c r="I16" s="40">
        <f>(목표이익률_지표!$C$52+목표이익률_지표!$C$53/목표이익률_지표!$C$54*IF(AND(목표이익률_지표!$C$59="O",목표이익률_지표!$C$58&gt;0),MAX(목표이익률_지표!$C$54,CEILING(G16/목표이익률_지표!$C$58,1)),목표이익률_지표!$C$54)+목표이익률_지표!$C$56*G16)/1000000</f>
        <v>20984.792148368877</v>
      </c>
      <c r="J16" s="40">
        <f t="shared" si="1"/>
        <v>-14346.514548368876</v>
      </c>
    </row>
    <row r="17" spans="2:10">
      <c r="B17" s="56">
        <f>ROUND($C$9*5/20,0)</f>
        <v>55610</v>
      </c>
      <c r="C17" s="40">
        <f>(B17*목표이익률_지표!$C$9+목표이익률_지표!$C$11)/1000000</f>
        <v>5279.1516709999996</v>
      </c>
      <c r="D17" s="40">
        <f>(목표이익률_지표!$C$6+목표이익률_지표!$C$7/목표이익률_지표!$C$8*IF(AND(목표이익률_지표!$C$13="O",목표이익률_지표!$C$12&gt;0),MAX(목표이익률_지표!$C$8,CEILING(B17/목표이익률_지표!$C$12,1)),목표이익률_지표!$C$8)+목표이익률_지표!$C$10*B17)/1000000</f>
        <v>14894.081094473586</v>
      </c>
      <c r="E17" s="40">
        <f t="shared" si="0"/>
        <v>-9614.9294234735862</v>
      </c>
      <c r="G17" s="56">
        <f>ROUND($H$9*5/20,0)</f>
        <v>56813</v>
      </c>
      <c r="H17" s="40">
        <f>(G17*목표이익률_지표!$C$55+목표이익률_지표!$C$57)/1000000</f>
        <v>8001.8375999999998</v>
      </c>
      <c r="I17" s="40">
        <f>(목표이익률_지표!$C$52+목표이익률_지표!$C$53/목표이익률_지표!$C$54*IF(AND(목표이익률_지표!$C$59="O",목표이익률_지표!$C$58&gt;0),MAX(목표이익률_지표!$C$54,CEILING(G17/목표이익률_지표!$C$58,1)),목표이익률_지표!$C$54)+목표이익률_지표!$C$56*G17)/1000000</f>
        <v>21027.450913010551</v>
      </c>
      <c r="J17" s="40">
        <f t="shared" si="1"/>
        <v>-13025.613313010552</v>
      </c>
    </row>
    <row r="18" spans="2:10">
      <c r="B18" s="56">
        <f>ROUND($C$9*6/20,0)</f>
        <v>66732</v>
      </c>
      <c r="C18" s="40">
        <f>(B18*목표이익률_지표!$C$9+목표이익률_지표!$C$11)/1000000</f>
        <v>6268.453571</v>
      </c>
      <c r="D18" s="40">
        <f>(목표이익률_지표!$C$6+목표이익률_지표!$C$7/목표이익률_지표!$C$8*IF(AND(목표이익률_지표!$C$13="O",목표이익률_지표!$C$12&gt;0),MAX(목표이익률_지표!$C$8,CEILING(B18/목표이익률_지표!$C$12,1)),목표이익률_지표!$C$8)+목표이익률_지표!$C$10*B18)/1000000</f>
        <v>14935.835101368304</v>
      </c>
      <c r="E18" s="40">
        <f t="shared" si="0"/>
        <v>-8667.3815303683041</v>
      </c>
      <c r="G18" s="56">
        <f>ROUND($H$9*6/20,0)</f>
        <v>68175</v>
      </c>
      <c r="H18" s="40">
        <f>(G18*목표이익률_지표!$C$55+목표이익률_지표!$C$57)/1000000</f>
        <v>9365.2775999999994</v>
      </c>
      <c r="I18" s="40">
        <f>(목표이익률_지표!$C$52+목표이익률_지표!$C$53/목표이익률_지표!$C$54*IF(AND(목표이익률_지표!$C$59="O",목표이익률_지표!$C$58&gt;0),MAX(목표이익률_지표!$C$54,CEILING(G18/목표이익률_지표!$C$58,1)),목표이익률_지표!$C$54)+목표이익률_지표!$C$56*G18)/1000000</f>
        <v>21070.105923470699</v>
      </c>
      <c r="J18" s="40">
        <f t="shared" si="1"/>
        <v>-11704.8283234707</v>
      </c>
    </row>
    <row r="19" spans="2:10">
      <c r="B19" s="56">
        <f>ROUND($C$9*7/20,0)</f>
        <v>77854</v>
      </c>
      <c r="C19" s="40">
        <f>(B19*목표이익률_지표!$C$9+목표이익률_지표!$C$11)/1000000</f>
        <v>7257.7554710000004</v>
      </c>
      <c r="D19" s="40">
        <f>(목표이익률_지표!$C$6+목표이익률_지표!$C$7/목표이익률_지표!$C$8*IF(AND(목표이익률_지표!$C$13="O",목표이익률_지표!$C$12&gt;0),MAX(목표이익률_지표!$C$8,CEILING(B19/목표이익률_지표!$C$12,1)),목표이익률_지표!$C$8)+목표이익률_지표!$C$10*B19)/1000000</f>
        <v>14977.589108263019</v>
      </c>
      <c r="E19" s="40">
        <f t="shared" si="0"/>
        <v>-7719.8336372630183</v>
      </c>
      <c r="G19" s="56">
        <f>ROUND($H$9*7/20,0)</f>
        <v>79538</v>
      </c>
      <c r="H19" s="40">
        <f>(G19*목표이익률_지표!$C$55+목표이익률_지표!$C$57)/1000000</f>
        <v>10728.837600000001</v>
      </c>
      <c r="I19" s="40">
        <f>(목표이익률_지표!$C$52+목표이익률_지표!$C$53/목표이익률_지표!$C$54*IF(AND(목표이익률_지표!$C$59="O",목표이익률_지표!$C$58&gt;0),MAX(목표이익률_지표!$C$54,CEILING(G19/목표이익률_지표!$C$58,1)),목표이익률_지표!$C$54)+목표이익률_지표!$C$56*G19)/1000000</f>
        <v>21112.764688112369</v>
      </c>
      <c r="J19" s="40">
        <f t="shared" si="1"/>
        <v>-10383.927088112368</v>
      </c>
    </row>
    <row r="20" spans="2:10">
      <c r="B20" s="56">
        <f>ROUND($C$9*8/20,0)</f>
        <v>88976</v>
      </c>
      <c r="C20" s="40">
        <f>(B20*목표이익률_지표!$C$9+목표이익률_지표!$C$11)/1000000</f>
        <v>8247.0573710000008</v>
      </c>
      <c r="D20" s="40">
        <f>(목표이익률_지표!$C$6+목표이익률_지표!$C$7/목표이익률_지표!$C$8*IF(AND(목표이익률_지표!$C$13="O",목표이익률_지표!$C$12&gt;0),MAX(목표이익률_지표!$C$8,CEILING(B20/목표이익률_지표!$C$12,1)),목표이익률_지표!$C$8)+목표이익률_지표!$C$10*B20)/1000000</f>
        <v>15019.343115157737</v>
      </c>
      <c r="E20" s="40">
        <f t="shared" si="0"/>
        <v>-6772.2857441577362</v>
      </c>
      <c r="G20" s="56">
        <f>ROUND($H$9*8/20,0)</f>
        <v>90900</v>
      </c>
      <c r="H20" s="40">
        <f>(G20*목표이익률_지표!$C$55+목표이익률_지표!$C$57)/1000000</f>
        <v>12092.277599999999</v>
      </c>
      <c r="I20" s="40">
        <f>(목표이익률_지표!$C$52+목표이익률_지표!$C$53/목표이익률_지표!$C$54*IF(AND(목표이익률_지표!$C$59="O",목표이익률_지표!$C$58&gt;0),MAX(목표이익률_지표!$C$54,CEILING(G20/목표이익률_지표!$C$58,1)),목표이익률_지표!$C$54)+목표이익률_지표!$C$56*G20)/1000000</f>
        <v>21155.419698572521</v>
      </c>
      <c r="J20" s="40">
        <f t="shared" si="1"/>
        <v>-9063.1420985725217</v>
      </c>
    </row>
    <row r="21" spans="2:10">
      <c r="B21" s="56">
        <f>ROUND($C$9*9/20,0)</f>
        <v>100098</v>
      </c>
      <c r="C21" s="40">
        <f>(B21*목표이익률_지표!$C$9+목표이익률_지표!$C$11)/1000000</f>
        <v>9236.3592709999994</v>
      </c>
      <c r="D21" s="40">
        <f>(목표이익률_지표!$C$6+목표이익률_지표!$C$7/목표이익률_지표!$C$8*IF(AND(목표이익률_지표!$C$13="O",목표이익률_지표!$C$12&gt;0),MAX(목표이익률_지표!$C$8,CEILING(B21/목표이익률_지표!$C$12,1)),목표이익률_지표!$C$8)+목표이익률_지표!$C$10*B21)/1000000</f>
        <v>15061.097122052453</v>
      </c>
      <c r="E21" s="40">
        <f t="shared" si="0"/>
        <v>-5824.7378510524541</v>
      </c>
      <c r="G21" s="56">
        <f>ROUND($H$9*9/20,0)</f>
        <v>102263</v>
      </c>
      <c r="H21" s="40">
        <f>(G21*목표이익률_지표!$C$55+목표이익률_지표!$C$57)/1000000</f>
        <v>13455.837600000001</v>
      </c>
      <c r="I21" s="40">
        <f>(목표이익률_지표!$C$52+목표이익률_지표!$C$53/목표이익률_지표!$C$54*IF(AND(목표이익률_지표!$C$59="O",목표이익률_지표!$C$58&gt;0),MAX(목표이익률_지표!$C$54,CEILING(G21/목표이익률_지표!$C$58,1)),목표이익률_지표!$C$54)+목표이익률_지표!$C$56*G21)/1000000</f>
        <v>21198.078463214191</v>
      </c>
      <c r="J21" s="40">
        <f t="shared" si="1"/>
        <v>-7742.2408632141905</v>
      </c>
    </row>
    <row r="22" spans="2:10">
      <c r="B22" s="56">
        <f>ROUND($C$9*10/20,0)</f>
        <v>111220</v>
      </c>
      <c r="C22" s="40">
        <f>(B22*목표이익률_지표!$C$9+목표이익률_지표!$C$11)/1000000</f>
        <v>10225.661171</v>
      </c>
      <c r="D22" s="40">
        <f>(목표이익률_지표!$C$6+목표이익률_지표!$C$7/목표이익률_지표!$C$8*IF(AND(목표이익률_지표!$C$13="O",목표이익률_지표!$C$12&gt;0),MAX(목표이익률_지표!$C$8,CEILING(B22/목표이익률_지표!$C$12,1)),목표이익률_지표!$C$8)+목표이익률_지표!$C$10*B22)/1000000</f>
        <v>15102.851128947172</v>
      </c>
      <c r="E22" s="40">
        <f t="shared" si="0"/>
        <v>-4877.1899579471719</v>
      </c>
      <c r="G22" s="56">
        <f>ROUND($H$9*10/20,0)</f>
        <v>113625</v>
      </c>
      <c r="H22" s="40">
        <f>(G22*목표이익률_지표!$C$55+목표이익률_지표!$C$57)/1000000</f>
        <v>14819.277599999999</v>
      </c>
      <c r="I22" s="40">
        <f>(목표이익률_지표!$C$52+목표이익률_지표!$C$53/목표이익률_지표!$C$54*IF(AND(목표이익률_지표!$C$59="O",목표이익률_지표!$C$58&gt;0),MAX(목표이익률_지표!$C$54,CEILING(G22/목표이익률_지표!$C$58,1)),목표이익률_지표!$C$54)+목표이익률_지표!$C$56*G22)/1000000</f>
        <v>21240.73347367434</v>
      </c>
      <c r="J22" s="40">
        <f t="shared" si="1"/>
        <v>-6421.4558736743402</v>
      </c>
    </row>
    <row r="23" spans="2:10">
      <c r="B23" s="56">
        <f>ROUND($C$9*11/20,0)</f>
        <v>122342</v>
      </c>
      <c r="C23" s="40">
        <f>(B23*목표이익률_지표!$C$9+목표이익률_지표!$C$11)/1000000</f>
        <v>11214.963071</v>
      </c>
      <c r="D23" s="40">
        <f>(목표이익률_지표!$C$6+목표이익률_지표!$C$7/목표이익률_지표!$C$8*IF(AND(목표이익률_지표!$C$13="O",목표이익률_지표!$C$12&gt;0),MAX(목표이익률_지표!$C$8,CEILING(B23/목표이익률_지표!$C$12,1)),목표이익률_지표!$C$8)+목표이익률_지표!$C$10*B23)/1000000</f>
        <v>15144.605135841888</v>
      </c>
      <c r="E23" s="40">
        <f t="shared" si="0"/>
        <v>-3929.642064841888</v>
      </c>
      <c r="G23" s="56">
        <f>ROUND($H$9*11/20,0)</f>
        <v>124988</v>
      </c>
      <c r="H23" s="40">
        <f>(G23*목표이익률_지표!$C$55+목표이익률_지표!$C$57)/1000000</f>
        <v>16182.837600000001</v>
      </c>
      <c r="I23" s="40">
        <f>(목표이익률_지표!$C$52+목표이익률_지표!$C$53/목표이익률_지표!$C$54*IF(AND(목표이익률_지표!$C$59="O",목표이익률_지표!$C$58&gt;0),MAX(목표이익률_지표!$C$54,CEILING(G23/목표이익률_지표!$C$58,1)),목표이익률_지표!$C$54)+목표이익률_지표!$C$56*G23)/1000000</f>
        <v>21283.392238316013</v>
      </c>
      <c r="J23" s="40">
        <f t="shared" si="1"/>
        <v>-5100.5546383160126</v>
      </c>
    </row>
    <row r="24" spans="2:10">
      <c r="B24" s="56">
        <f>ROUND($C$9*12/20,0)</f>
        <v>133464</v>
      </c>
      <c r="C24" s="40">
        <f>(B24*목표이익률_지표!$C$9+목표이익률_지표!$C$11)/1000000</f>
        <v>12204.264971000001</v>
      </c>
      <c r="D24" s="40">
        <f>(목표이익률_지표!$C$6+목표이익률_지표!$C$7/목표이익률_지표!$C$8*IF(AND(목표이익률_지표!$C$13="O",목표이익률_지표!$C$12&gt;0),MAX(목표이익률_지표!$C$8,CEILING(B24/목표이익률_지표!$C$12,1)),목표이익률_지표!$C$8)+목표이익률_지표!$C$10*B24)/1000000</f>
        <v>15186.359142736606</v>
      </c>
      <c r="E24" s="40">
        <f t="shared" si="0"/>
        <v>-2982.0941717366059</v>
      </c>
      <c r="G24" s="56">
        <f>ROUND($H$9*12/20,0)</f>
        <v>136350</v>
      </c>
      <c r="H24" s="40">
        <f>(G24*목표이익률_지표!$C$55+목표이익률_지표!$C$57)/1000000</f>
        <v>17546.277600000001</v>
      </c>
      <c r="I24" s="40">
        <f>(목표이익률_지표!$C$52+목표이익률_지표!$C$53/목표이익률_지표!$C$54*IF(AND(목표이익률_지표!$C$59="O",목표이익률_지표!$C$58&gt;0),MAX(목표이익률_지표!$C$54,CEILING(G24/목표이익률_지표!$C$58,1)),목표이익률_지표!$C$54)+목표이익률_지표!$C$56*G24)/1000000</f>
        <v>21326.047248776162</v>
      </c>
      <c r="J24" s="40">
        <f t="shared" si="1"/>
        <v>-3779.7696487761605</v>
      </c>
    </row>
    <row r="25" spans="2:10">
      <c r="B25" s="56">
        <f>ROUND($C$9*13/20,0)</f>
        <v>144586</v>
      </c>
      <c r="C25" s="40">
        <f>(B25*목표이익률_지표!$C$9+목표이익률_지표!$C$11)/1000000</f>
        <v>13193.566871000001</v>
      </c>
      <c r="D25" s="40">
        <f>(목표이익률_지표!$C$6+목표이익률_지표!$C$7/목표이익률_지표!$C$8*IF(AND(목표이익률_지표!$C$13="O",목표이익률_지표!$C$12&gt;0),MAX(목표이익률_지표!$C$8,CEILING(B25/목표이익률_지표!$C$12,1)),목표이익률_지표!$C$8)+목표이익률_지표!$C$10*B25)/1000000</f>
        <v>15228.113149631323</v>
      </c>
      <c r="E25" s="40">
        <f t="shared" si="0"/>
        <v>-2034.5462786313219</v>
      </c>
      <c r="G25" s="56">
        <f>ROUND($H$9*13/20,0)</f>
        <v>147713</v>
      </c>
      <c r="H25" s="40">
        <f>(G25*목표이익률_지표!$C$55+목표이익률_지표!$C$57)/1000000</f>
        <v>18909.837599999999</v>
      </c>
      <c r="I25" s="40">
        <f>(목표이익률_지표!$C$52+목표이익률_지표!$C$53/목표이익률_지표!$C$54*IF(AND(목표이익률_지표!$C$59="O",목표이익률_지표!$C$58&gt;0),MAX(목표이익률_지표!$C$54,CEILING(G25/목표이익률_지표!$C$58,1)),목표이익률_지표!$C$54)+목표이익률_지표!$C$56*G25)/1000000</f>
        <v>21368.706013417832</v>
      </c>
      <c r="J25" s="40">
        <f t="shared" si="1"/>
        <v>-2458.8684134178329</v>
      </c>
    </row>
    <row r="26" spans="2:10">
      <c r="B26" s="56">
        <f>ROUND($C$9*14/20,0)</f>
        <v>155708</v>
      </c>
      <c r="C26" s="40">
        <f>(B26*목표이익률_지표!$C$9+목표이익률_지표!$C$11)/1000000</f>
        <v>14182.868770999999</v>
      </c>
      <c r="D26" s="40">
        <f>(목표이익률_지표!$C$6+목표이익률_지표!$C$7/목표이익률_지표!$C$8*IF(AND(목표이익률_지표!$C$13="O",목표이익률_지표!$C$12&gt;0),MAX(목표이익률_지표!$C$8,CEILING(B26/목표이익률_지표!$C$12,1)),목표이익률_지표!$C$8)+목표이익률_지표!$C$10*B26)/1000000</f>
        <v>15269.867156526041</v>
      </c>
      <c r="E26" s="40">
        <f t="shared" si="0"/>
        <v>-1086.9983855260416</v>
      </c>
      <c r="G26" s="56">
        <f>ROUND($H$9*14/20,0)</f>
        <v>159075</v>
      </c>
      <c r="H26" s="40">
        <f>(G26*목표이익률_지표!$C$55+목표이익률_지표!$C$57)/1000000</f>
        <v>20273.277600000001</v>
      </c>
      <c r="I26" s="40">
        <f>(목표이익률_지표!$C$52+목표이익률_지표!$C$53/목표이익률_지표!$C$54*IF(AND(목표이익률_지표!$C$59="O",목표이익률_지표!$C$58&gt;0),MAX(목표이익률_지표!$C$54,CEILING(G26/목표이익률_지표!$C$58,1)),목표이익률_지표!$C$54)+목표이익률_지표!$C$56*G26)/1000000</f>
        <v>21411.361023877984</v>
      </c>
      <c r="J26" s="40">
        <f t="shared" si="1"/>
        <v>-1138.0834238779826</v>
      </c>
    </row>
    <row r="27" spans="2:10">
      <c r="B27" s="56">
        <f>ROUND($C$9*15/20,0)</f>
        <v>166830</v>
      </c>
      <c r="C27" s="40">
        <f>(B27*목표이익률_지표!$C$9+목표이익률_지표!$C$11)/1000000</f>
        <v>15172.170671</v>
      </c>
      <c r="D27" s="40">
        <f>(목표이익률_지표!$C$6+목표이익률_지표!$C$7/목표이익률_지표!$C$8*IF(AND(목표이익률_지표!$C$13="O",목표이익률_지표!$C$12&gt;0),MAX(목표이익률_지표!$C$8,CEILING(B27/목표이익률_지표!$C$12,1)),목표이익률_지표!$C$8)+목표이익률_지표!$C$10*B27)/1000000</f>
        <v>15311.621163420758</v>
      </c>
      <c r="E27" s="40">
        <f t="shared" si="0"/>
        <v>-139.45049242075766</v>
      </c>
      <c r="G27" s="56">
        <f>ROUND($H$9*15/20,0)</f>
        <v>170438</v>
      </c>
      <c r="H27" s="40">
        <f>(G27*목표이익률_지표!$C$55+목표이익률_지표!$C$57)/1000000</f>
        <v>21636.837599999999</v>
      </c>
      <c r="I27" s="40">
        <f>(목표이익률_지표!$C$52+목표이익률_지표!$C$53/목표이익률_지표!$C$54*IF(AND(목표이익률_지표!$C$59="O",목표이익률_지표!$C$58&gt;0),MAX(목표이익률_지표!$C$54,CEILING(G27/목표이익률_지표!$C$58,1)),목표이익률_지표!$C$54)+목표이익률_지표!$C$56*G27)/1000000</f>
        <v>21454.019788519654</v>
      </c>
      <c r="J27" s="40">
        <f t="shared" si="1"/>
        <v>182.81781148034497</v>
      </c>
    </row>
    <row r="28" spans="2:10">
      <c r="B28" s="56">
        <f>ROUND($C$9*16/20,0)</f>
        <v>177952</v>
      </c>
      <c r="C28" s="40">
        <f>(B28*목표이익률_지표!$C$9+목표이익률_지표!$C$11)/1000000</f>
        <v>16161.472571</v>
      </c>
      <c r="D28" s="40">
        <f>(목표이익률_지표!$C$6+목표이익률_지표!$C$7/목표이익률_지표!$C$8*IF(AND(목표이익률_지표!$C$13="O",목표이익률_지표!$C$12&gt;0),MAX(목표이익률_지표!$C$8,CEILING(B28/목표이익률_지표!$C$12,1)),목표이익률_지표!$C$8)+목표이익률_지표!$C$10*B28)/1000000</f>
        <v>15353.375170315476</v>
      </c>
      <c r="E28" s="40">
        <f t="shared" si="0"/>
        <v>808.09740068452447</v>
      </c>
      <c r="G28" s="56">
        <f>ROUND($H$9*16/20,0)</f>
        <v>181800</v>
      </c>
      <c r="H28" s="40">
        <f>(G28*목표이익률_지표!$C$55+목표이익률_지표!$C$57)/1000000</f>
        <v>23000.277600000001</v>
      </c>
      <c r="I28" s="40">
        <f>(목표이익률_지표!$C$52+목표이익률_지표!$C$53/목표이익률_지표!$C$54*IF(AND(목표이익률_지표!$C$59="O",목표이익률_지표!$C$58&gt;0),MAX(목표이익률_지표!$C$54,CEILING(G28/목표이익률_지표!$C$58,1)),목표이익률_지표!$C$54)+목표이익률_지표!$C$56*G28)/1000000</f>
        <v>21496.674798979802</v>
      </c>
      <c r="J28" s="40">
        <f t="shared" si="1"/>
        <v>1503.602801020199</v>
      </c>
    </row>
    <row r="29" spans="2:10">
      <c r="B29" s="56">
        <f>ROUND($C$9*17/20,0)</f>
        <v>189074</v>
      </c>
      <c r="C29" s="40">
        <f>(B29*목표이익률_지표!$C$9+목표이익률_지표!$C$11)/1000000</f>
        <v>17150.774471000001</v>
      </c>
      <c r="D29" s="40">
        <f>(목표이익률_지표!$C$6+목표이익률_지표!$C$7/목표이익률_지표!$C$8*IF(AND(목표이익률_지표!$C$13="O",목표이익률_지표!$C$12&gt;0),MAX(목표이익률_지표!$C$8,CEILING(B29/목표이익률_지표!$C$12,1)),목표이익률_지표!$C$8)+목표이익률_지표!$C$10*B29)/1000000</f>
        <v>15395.129177210192</v>
      </c>
      <c r="E29" s="40">
        <f t="shared" si="0"/>
        <v>1755.6452937898084</v>
      </c>
      <c r="G29" s="56">
        <f>ROUND($H$9*17/20,0)</f>
        <v>193163</v>
      </c>
      <c r="H29" s="40">
        <f>(G29*목표이익률_지표!$C$55+목표이익률_지표!$C$57)/1000000</f>
        <v>24363.837599999999</v>
      </c>
      <c r="I29" s="40">
        <f>(목표이익률_지표!$C$52+목표이익률_지표!$C$53/목표이익률_지표!$C$54*IF(AND(목표이익률_지표!$C$59="O",목표이익률_지표!$C$58&gt;0),MAX(목표이익률_지표!$C$54,CEILING(G29/목표이익률_지표!$C$58,1)),목표이익률_지표!$C$54)+목표이익률_지표!$C$56*G29)/1000000</f>
        <v>21539.333563621476</v>
      </c>
      <c r="J29" s="40">
        <f t="shared" si="1"/>
        <v>2824.5040363785229</v>
      </c>
    </row>
    <row r="30" spans="2:10">
      <c r="B30" s="56">
        <f>ROUND($C$9*18/20,0)</f>
        <v>200196</v>
      </c>
      <c r="C30" s="40">
        <f>(B30*목표이익률_지표!$C$9+목표이익률_지표!$C$11)/1000000</f>
        <v>18140.076370999999</v>
      </c>
      <c r="D30" s="40">
        <f>(목표이익률_지표!$C$6+목표이익률_지표!$C$7/목표이익률_지표!$C$8*IF(AND(목표이익률_지표!$C$13="O",목표이익률_지표!$C$12&gt;0),MAX(목표이익률_지표!$C$8,CEILING(B30/목표이익률_지표!$C$12,1)),목표이익률_지표!$C$8)+목표이익률_지표!$C$10*B30)/1000000</f>
        <v>15436.88318410491</v>
      </c>
      <c r="E30" s="40">
        <f t="shared" si="0"/>
        <v>2703.1931868950887</v>
      </c>
      <c r="G30" s="56">
        <f>ROUND($H$9*18/20,0)</f>
        <v>204525</v>
      </c>
      <c r="H30" s="40">
        <f>(G30*목표이익률_지표!$C$55+목표이익률_지표!$C$57)/1000000</f>
        <v>25727.277600000001</v>
      </c>
      <c r="I30" s="40">
        <f>(목표이익률_지표!$C$52+목표이익률_지표!$C$53/목표이익률_지표!$C$54*IF(AND(목표이익률_지표!$C$59="O",목표이익률_지표!$C$58&gt;0),MAX(목표이익률_지표!$C$54,CEILING(G30/목표이익률_지표!$C$58,1)),목표이익률_지표!$C$54)+목표이익률_지표!$C$56*G30)/1000000</f>
        <v>21581.988574081624</v>
      </c>
      <c r="J30" s="40">
        <f t="shared" si="1"/>
        <v>4145.2890259183769</v>
      </c>
    </row>
    <row r="31" spans="2:10">
      <c r="B31" s="56">
        <f>ROUND($C$9*19/20,0)</f>
        <v>211318</v>
      </c>
      <c r="C31" s="40">
        <f>(B31*목표이익률_지표!$C$9+목표이익률_지표!$C$11)/1000000</f>
        <v>19129.378271000001</v>
      </c>
      <c r="D31" s="40">
        <f>(목표이익률_지표!$C$6+목표이익률_지표!$C$7/목표이익률_지표!$C$8*IF(AND(목표이익률_지표!$C$13="O",목표이익률_지표!$C$12&gt;0),MAX(목표이익률_지표!$C$8,CEILING(B31/목표이익률_지표!$C$12,1)),목표이익률_지표!$C$8)+목표이익률_지표!$C$10*B31)/1000000</f>
        <v>15478.637190999627</v>
      </c>
      <c r="E31" s="40">
        <f t="shared" si="0"/>
        <v>3650.7410800003745</v>
      </c>
      <c r="G31" s="56">
        <f>ROUND($H$9*19/20,0)</f>
        <v>215888</v>
      </c>
      <c r="H31" s="40">
        <f>(G31*목표이익률_지표!$C$55+목표이익률_지표!$C$57)/1000000</f>
        <v>27090.837599999999</v>
      </c>
      <c r="I31" s="40">
        <f>(목표이익률_지표!$C$52+목표이익률_지표!$C$53/목표이익률_지표!$C$54*IF(AND(목표이익률_지표!$C$59="O",목표이익률_지표!$C$58&gt;0),MAX(목표이익률_지표!$C$54,CEILING(G31/목표이익률_지표!$C$58,1)),목표이익률_지표!$C$54)+목표이익률_지표!$C$56*G31)/1000000</f>
        <v>21624.647338723295</v>
      </c>
      <c r="J31" s="40">
        <f t="shared" si="1"/>
        <v>5466.1902612767044</v>
      </c>
    </row>
    <row r="32" spans="2:10">
      <c r="B32" s="56">
        <f>ROUND($C$9*20/20,0)</f>
        <v>222440</v>
      </c>
      <c r="C32" s="40">
        <f>(B32*목표이익률_지표!$C$9+목표이익률_지표!$C$11)/1000000</f>
        <v>20118.680171</v>
      </c>
      <c r="D32" s="40">
        <f>(목표이익률_지표!$C$6+목표이익률_지표!$C$7/목표이익률_지표!$C$8*IF(AND(목표이익률_지표!$C$13="O",목표이익률_지표!$C$12&gt;0),MAX(목표이익률_지표!$C$8,CEILING(B32/목표이익률_지표!$C$12,1)),목표이익률_지표!$C$8)+목표이익률_지표!$C$10*B32)/1000000</f>
        <v>15520.391197894345</v>
      </c>
      <c r="E32" s="40">
        <f t="shared" si="0"/>
        <v>4598.2889731056548</v>
      </c>
      <c r="G32" s="56">
        <f>ROUND($H$9*20/20,0)</f>
        <v>227250</v>
      </c>
      <c r="H32" s="40">
        <f>(G32*목표이익률_지표!$C$55+목표이익률_지표!$C$57)/1000000</f>
        <v>28454.277600000001</v>
      </c>
      <c r="I32" s="40">
        <f>(목표이익률_지표!$C$52+목표이익률_지표!$C$53/목표이익률_지표!$C$54*IF(AND(목표이익률_지표!$C$59="O",목표이익률_지표!$C$58&gt;0),MAX(목표이익률_지표!$C$54,CEILING(G32/목표이익률_지표!$C$58,1)),목표이익률_지표!$C$54)+목표이익률_지표!$C$56*G32)/1000000</f>
        <v>21667.302349183443</v>
      </c>
      <c r="J32" s="40">
        <f t="shared" si="1"/>
        <v>6786.9752508165584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I72"/>
  <sheetViews>
    <sheetView zoomScale="85" zoomScaleNormal="85" workbookViewId="0">
      <selection activeCell="I31" sqref="I31"/>
    </sheetView>
  </sheetViews>
  <sheetFormatPr defaultColWidth="8.7109375" defaultRowHeight="15"/>
  <cols>
    <col min="1" max="1" width="2" customWidth="1"/>
    <col min="2" max="2" width="34" customWidth="1"/>
    <col min="3" max="5" width="17" customWidth="1"/>
    <col min="6" max="7" width="14" customWidth="1"/>
    <col min="8" max="8" width="17" customWidth="1"/>
    <col min="9" max="9" width="50" customWidth="1"/>
  </cols>
  <sheetData>
    <row r="1" spans="2:9" ht="26.25">
      <c r="B1" s="2" t="s">
        <v>712</v>
      </c>
    </row>
    <row r="2" spans="2:9">
      <c r="B2" s="3" t="s">
        <v>713</v>
      </c>
    </row>
    <row r="4" spans="2:9" ht="16.5">
      <c r="B4" s="25" t="s">
        <v>714</v>
      </c>
    </row>
    <row r="5" spans="2:9" ht="27">
      <c r="B5" s="4" t="s">
        <v>715</v>
      </c>
      <c r="C5" s="4" t="s">
        <v>716</v>
      </c>
      <c r="D5" s="73" t="s">
        <v>717</v>
      </c>
      <c r="E5" s="73" t="s">
        <v>718</v>
      </c>
      <c r="F5" s="4" t="s">
        <v>719</v>
      </c>
      <c r="G5" s="4" t="s">
        <v>720</v>
      </c>
      <c r="H5" s="4" t="s">
        <v>721</v>
      </c>
      <c r="I5" s="4" t="s">
        <v>137</v>
      </c>
    </row>
    <row r="6" spans="2:9">
      <c r="B6" s="12" t="s">
        <v>283</v>
      </c>
      <c r="C6" s="40">
        <f>손익계산서_원본!$D$26</f>
        <v>1822878650</v>
      </c>
      <c r="D6" s="40">
        <f>C6/설정값!$D$90</f>
        <v>60762621.666666664</v>
      </c>
      <c r="E6" s="40">
        <f>D6/12</f>
        <v>5063551.805555555</v>
      </c>
      <c r="F6" s="89" t="s">
        <v>722</v>
      </c>
      <c r="G6" s="41">
        <f>C6/$C$9</f>
        <v>0.85869313325974528</v>
      </c>
      <c r="H6" s="40">
        <f>C6*설정값!$D$8/설정값!$D$90</f>
        <v>1822878650</v>
      </c>
      <c r="I6" s="102"/>
    </row>
    <row r="7" spans="2:9">
      <c r="B7" s="12" t="s">
        <v>218</v>
      </c>
      <c r="C7" s="40">
        <f>손익계산서_원본!$D$27</f>
        <v>152420193</v>
      </c>
      <c r="D7" s="40">
        <f>C7/설정값!$D$90</f>
        <v>5080673.0999999996</v>
      </c>
      <c r="E7" s="40">
        <f>D7/12</f>
        <v>423389.42499999999</v>
      </c>
      <c r="F7" s="61">
        <f>C7/$C$6</f>
        <v>8.3615106798250113E-2</v>
      </c>
      <c r="G7" s="41">
        <f>C7/$C$9</f>
        <v>7.1799718044437619E-2</v>
      </c>
      <c r="H7" s="40">
        <f>C7*설정값!$D$8/설정값!$D$90</f>
        <v>152420193</v>
      </c>
      <c r="I7" s="102"/>
    </row>
    <row r="8" spans="2:9">
      <c r="B8" s="12" t="s">
        <v>219</v>
      </c>
      <c r="C8" s="40">
        <f>손익계산서_원본!$D$28</f>
        <v>147553407</v>
      </c>
      <c r="D8" s="40">
        <f>C8/설정값!$D$90</f>
        <v>4918446.9000000004</v>
      </c>
      <c r="E8" s="40">
        <f>D8/12</f>
        <v>409870.57500000001</v>
      </c>
      <c r="F8" s="61">
        <f>C8/$C$6</f>
        <v>8.0945271370642252E-2</v>
      </c>
      <c r="G8" s="41">
        <f>C8/$C$9</f>
        <v>6.9507148695817145E-2</v>
      </c>
      <c r="H8" s="40">
        <f>C8*설정값!$D$8/설정값!$D$90</f>
        <v>147553407</v>
      </c>
      <c r="I8" s="102"/>
    </row>
    <row r="9" spans="2:9">
      <c r="B9" s="5" t="s">
        <v>723</v>
      </c>
      <c r="C9" s="34">
        <f>SUM(C6:C8)</f>
        <v>2122852250</v>
      </c>
      <c r="D9" s="34">
        <f>C9/설정값!$D$90</f>
        <v>70761741.666666672</v>
      </c>
      <c r="E9" s="34">
        <f>D9/12</f>
        <v>5896811.805555556</v>
      </c>
      <c r="F9" s="62">
        <f>C9/C6</f>
        <v>1.1645603781688925</v>
      </c>
      <c r="G9" s="64">
        <f>SUM(G6:G8)</f>
        <v>1</v>
      </c>
      <c r="H9" s="34">
        <f>SUM(H6:H8)</f>
        <v>2122852250</v>
      </c>
      <c r="I9" s="102"/>
    </row>
    <row r="10" spans="2:9">
      <c r="B10" s="12" t="s">
        <v>724</v>
      </c>
      <c r="C10" s="61">
        <f>C7/C6</f>
        <v>8.3615106798250113E-2</v>
      </c>
      <c r="D10" s="12" t="str">
        <f>IF(ABS(C10-1/12)&lt;0.005,"법정 1/12(8.33%) 부합","1/12 이탈")</f>
        <v>법정 1/12(8.33%) 부합</v>
      </c>
      <c r="E10" s="102"/>
      <c r="F10" s="102"/>
      <c r="G10" s="102"/>
      <c r="H10" s="102"/>
      <c r="I10" s="12" t="str">
        <f>"전기 "&amp;TEXT(손익계산서_원본!$G$27/손익계산서_원본!$G$26,"0.00%")&amp;" — 2022.06 물적분할 · 근속 1년 미만 다수"</f>
        <v>전기 5.09% — 2022.06 물적분할 · 근속 1년 미만 다수</v>
      </c>
    </row>
    <row r="12" spans="2:9" ht="16.5">
      <c r="B12" s="25" t="s">
        <v>725</v>
      </c>
    </row>
    <row r="13" spans="2:9">
      <c r="B13" s="4" t="s">
        <v>715</v>
      </c>
      <c r="C13" s="4" t="s">
        <v>726</v>
      </c>
      <c r="D13" s="4" t="s">
        <v>727</v>
      </c>
      <c r="E13" s="4" t="s">
        <v>427</v>
      </c>
      <c r="F13" s="4" t="s">
        <v>728</v>
      </c>
      <c r="G13" s="4" t="s">
        <v>729</v>
      </c>
      <c r="H13" s="4" t="s">
        <v>730</v>
      </c>
      <c r="I13" s="4" t="s">
        <v>137</v>
      </c>
    </row>
    <row r="14" spans="2:9">
      <c r="B14" s="12" t="s">
        <v>217</v>
      </c>
      <c r="C14" s="40">
        <f>주석_보조자료!$C$6*1000</f>
        <v>1822879000</v>
      </c>
      <c r="D14" s="40">
        <f>주석_보조자료!$D$6*1000</f>
        <v>1253988000</v>
      </c>
      <c r="E14" s="40">
        <f t="shared" ref="E14:E19" si="0">C14+D14</f>
        <v>3076867000</v>
      </c>
      <c r="F14" s="41">
        <f>D14/E14</f>
        <v>0.40755352766304165</v>
      </c>
      <c r="G14" s="40">
        <f>C14/설정값!$D$8</f>
        <v>60762633.333333336</v>
      </c>
      <c r="H14" s="40">
        <f>D14/원가구조_기준!$C$31</f>
        <v>62699400</v>
      </c>
      <c r="I14" s="102"/>
    </row>
    <row r="15" spans="2:9">
      <c r="B15" s="12" t="s">
        <v>219</v>
      </c>
      <c r="C15" s="40">
        <f>주석_보조자료!$C$8*1000</f>
        <v>147553000</v>
      </c>
      <c r="D15" s="40">
        <f>주석_보조자료!$D$8*1000</f>
        <v>267351000</v>
      </c>
      <c r="E15" s="40">
        <f t="shared" si="0"/>
        <v>414904000</v>
      </c>
      <c r="F15" s="41">
        <f>D15/E15</f>
        <v>0.64436833580780128</v>
      </c>
      <c r="G15" s="40">
        <f>C15/설정값!$D$8</f>
        <v>4918433.333333333</v>
      </c>
      <c r="H15" s="40">
        <f>D15/원가구조_기준!$C$31</f>
        <v>13367550</v>
      </c>
      <c r="I15" s="102"/>
    </row>
    <row r="16" spans="2:9">
      <c r="B16" s="5" t="s">
        <v>731</v>
      </c>
      <c r="C16" s="34">
        <f>C14+C15</f>
        <v>1970432000</v>
      </c>
      <c r="D16" s="34">
        <f>D14+D15</f>
        <v>1521339000</v>
      </c>
      <c r="E16" s="37">
        <f t="shared" si="0"/>
        <v>3491771000</v>
      </c>
      <c r="F16" s="36">
        <f>D16/E16</f>
        <v>0.43569266140305307</v>
      </c>
      <c r="G16" s="37">
        <f>C16/설정값!$D$8</f>
        <v>65681066.666666664</v>
      </c>
      <c r="H16" s="37">
        <f>D16/원가구조_기준!$C$31</f>
        <v>76066950</v>
      </c>
      <c r="I16" s="102"/>
    </row>
    <row r="17" spans="2:9">
      <c r="B17" s="12" t="s">
        <v>732</v>
      </c>
      <c r="C17" s="40">
        <f>주석_보조자료!$C$7*1000</f>
        <v>152420000</v>
      </c>
      <c r="D17" s="40">
        <f>주석_보조자료!$D$7*1000</f>
        <v>148252000</v>
      </c>
      <c r="E17" s="40">
        <f t="shared" si="0"/>
        <v>300672000</v>
      </c>
      <c r="F17" s="41">
        <f>D17/E17</f>
        <v>0.49306885908897402</v>
      </c>
      <c r="G17" s="40">
        <f>C17/설정값!$D$8</f>
        <v>5080666.666666667</v>
      </c>
      <c r="H17" s="40">
        <f>D17/원가구조_기준!$C$31</f>
        <v>7412600</v>
      </c>
      <c r="I17" s="102"/>
    </row>
    <row r="18" spans="2:9">
      <c r="B18" s="5" t="s">
        <v>733</v>
      </c>
      <c r="C18" s="34">
        <f>C16+C17</f>
        <v>2122852000</v>
      </c>
      <c r="D18" s="34">
        <f>D16+D17</f>
        <v>1669591000</v>
      </c>
      <c r="E18" s="37">
        <f t="shared" si="0"/>
        <v>3792443000</v>
      </c>
      <c r="F18" s="36">
        <f>D18/E18</f>
        <v>0.44024155405895354</v>
      </c>
      <c r="G18" s="37">
        <f>C18/설정값!$D$8</f>
        <v>70761733.333333328</v>
      </c>
      <c r="H18" s="37">
        <f>D18/원가구조_기준!$C$31</f>
        <v>83479550</v>
      </c>
      <c r="I18" s="102"/>
    </row>
    <row r="19" spans="2:9">
      <c r="B19" s="103" t="s">
        <v>734</v>
      </c>
      <c r="C19" s="104">
        <f>설정값!$D$8</f>
        <v>30</v>
      </c>
      <c r="D19" s="104">
        <f>원가구조_기준!$C$31</f>
        <v>20</v>
      </c>
      <c r="E19" s="104">
        <f t="shared" si="0"/>
        <v>50</v>
      </c>
      <c r="I19" s="3" t="s">
        <v>735</v>
      </c>
    </row>
    <row r="20" spans="2:9">
      <c r="B20" s="51" t="s">
        <v>736</v>
      </c>
      <c r="E20" s="52">
        <f>E18/E19</f>
        <v>75848860</v>
      </c>
    </row>
    <row r="21" spans="2:9">
      <c r="B21" s="12" t="s">
        <v>737</v>
      </c>
      <c r="C21" s="61">
        <f>C15/C14</f>
        <v>8.0945032555644128E-2</v>
      </c>
      <c r="D21" s="61">
        <f>D15/D14</f>
        <v>0.21320060479047645</v>
      </c>
      <c r="I21" s="3" t="s">
        <v>738</v>
      </c>
    </row>
    <row r="22" spans="2:9">
      <c r="B22" s="12" t="s">
        <v>739</v>
      </c>
      <c r="C22" s="61">
        <f>C17/C14</f>
        <v>8.3614984867344463E-2</v>
      </c>
      <c r="D22" s="61">
        <f>D17/D14</f>
        <v>0.11822441682057563</v>
      </c>
    </row>
    <row r="23" spans="2:9">
      <c r="B23" s="12" t="s">
        <v>740</v>
      </c>
      <c r="D23" s="57">
        <f>H18/원가구조_기준!$C$28</f>
        <v>1.2709834328481999</v>
      </c>
      <c r="E23" s="12" t="str">
        <f>IF(ABS(D23-1)&lt;0.4,"지상직과 정합","지상직과 격차 큼")</f>
        <v>지상직과 정합</v>
      </c>
      <c r="I23" s="3" t="str">
        <f>"지상직 단가 환산 "&amp;TEXT(D18/원가구조_기준!$C$28,"0.0")&amp;"명분"</f>
        <v>지상직 단가 환산 25.4명분</v>
      </c>
    </row>
    <row r="25" spans="2:9" ht="16.5">
      <c r="B25" s="25" t="s">
        <v>741</v>
      </c>
    </row>
    <row r="26" spans="2:9">
      <c r="B26" s="4" t="s">
        <v>75</v>
      </c>
      <c r="C26" s="4" t="s">
        <v>742</v>
      </c>
      <c r="D26" s="4" t="s">
        <v>158</v>
      </c>
      <c r="E26" s="4"/>
      <c r="F26" s="4"/>
      <c r="G26" s="4"/>
      <c r="H26" s="4"/>
      <c r="I26" s="4" t="s">
        <v>367</v>
      </c>
    </row>
    <row r="27" spans="2:9">
      <c r="B27" s="12" t="s">
        <v>743</v>
      </c>
      <c r="C27" s="40">
        <f>원가구조_기준!$C$28*설정값!$D$90</f>
        <v>1970432057</v>
      </c>
      <c r="D27" s="40">
        <f>설정값!$D$40*원가구조_기준!$C$28+(손익계산서_원본!$D$12+손익계산서_원본!$D$14)*대조선박_손익!$C$11</f>
        <v>3491771057</v>
      </c>
      <c r="I27" s="3" t="s">
        <v>744</v>
      </c>
    </row>
    <row r="28" spans="2:9">
      <c r="B28" s="12" t="s">
        <v>734</v>
      </c>
      <c r="C28" s="40">
        <f>설정값!$D$90</f>
        <v>30</v>
      </c>
      <c r="D28" s="40">
        <f>설정값!$D$40+대조선박_손익!$C$10</f>
        <v>50</v>
      </c>
      <c r="I28" s="3" t="s">
        <v>745</v>
      </c>
    </row>
    <row r="29" spans="2:9">
      <c r="B29" s="70" t="s">
        <v>746</v>
      </c>
      <c r="C29" s="49">
        <f>C27/C28</f>
        <v>65681068.56666667</v>
      </c>
      <c r="D29" s="49">
        <f>D27/D28</f>
        <v>69835421.140000001</v>
      </c>
      <c r="I29" s="3"/>
    </row>
    <row r="30" spans="2:9">
      <c r="B30" s="12" t="s">
        <v>747</v>
      </c>
      <c r="C30" s="40">
        <f>원가구조_기준!$C$16</f>
        <v>2122852250</v>
      </c>
      <c r="D30" s="40">
        <f>대조선박_손익!$C$35+대조선박_손익!$C$34</f>
        <v>3792443250</v>
      </c>
      <c r="I30" s="3"/>
    </row>
    <row r="31" spans="2:9">
      <c r="B31" s="10" t="s">
        <v>748</v>
      </c>
      <c r="C31" s="40">
        <f>(C30-C27)/C28</f>
        <v>5080673.0999999996</v>
      </c>
      <c r="D31" s="40">
        <f>(D30-D27)/D28</f>
        <v>6013443.8600000003</v>
      </c>
      <c r="I31" s="3"/>
    </row>
    <row r="32" spans="2:9">
      <c r="B32" s="12" t="s">
        <v>749</v>
      </c>
      <c r="C32" s="40">
        <f>C30/C28</f>
        <v>70761741.666666672</v>
      </c>
      <c r="D32" s="40">
        <f>D30/D28</f>
        <v>75848865</v>
      </c>
      <c r="I32" s="3"/>
    </row>
    <row r="34" spans="2:9" ht="16.5">
      <c r="B34" s="25" t="s">
        <v>750</v>
      </c>
    </row>
    <row r="35" spans="2:9">
      <c r="B35" s="4" t="s">
        <v>751</v>
      </c>
      <c r="C35" s="4" t="s">
        <v>354</v>
      </c>
      <c r="D35" s="4" t="s">
        <v>355</v>
      </c>
      <c r="E35" s="4" t="s">
        <v>752</v>
      </c>
      <c r="F35" s="4"/>
      <c r="G35" s="4"/>
      <c r="H35" s="4"/>
      <c r="I35" s="4" t="s">
        <v>367</v>
      </c>
    </row>
    <row r="36" spans="2:9">
      <c r="B36" s="12" t="s">
        <v>753</v>
      </c>
      <c r="C36" s="40">
        <f>손익계산서_원본!$D$58</f>
        <v>-6040188112</v>
      </c>
      <c r="D36" s="40">
        <f>손익계산서_원본!$G$58</f>
        <v>-5776402130</v>
      </c>
      <c r="E36" s="41">
        <f>C36/원가구조_기준!$C$7</f>
        <v>-0.45944836693109009</v>
      </c>
      <c r="I36" s="3" t="s">
        <v>754</v>
      </c>
    </row>
    <row r="37" spans="2:9">
      <c r="B37" s="12" t="s">
        <v>755</v>
      </c>
      <c r="C37" s="40">
        <f>주석_보조자료!$E$9*1000</f>
        <v>3792443000</v>
      </c>
      <c r="D37" s="40">
        <f>주석_보조자료!$H$9*1000</f>
        <v>1864728000</v>
      </c>
      <c r="E37" s="41">
        <f>C37/원가구조_기준!$C$7</f>
        <v>0.2884730923474994</v>
      </c>
      <c r="I37" s="3" t="s">
        <v>756</v>
      </c>
    </row>
    <row r="38" spans="2:9">
      <c r="B38" s="12" t="s">
        <v>757</v>
      </c>
      <c r="C38" s="40">
        <f>손익계산서_원본!$D$54-손익계산서_원본!$D$49</f>
        <v>4008384615</v>
      </c>
      <c r="D38" s="40">
        <f>손익계산서_원본!$G$54-손익계산서_원본!$G$49</f>
        <v>2337792544</v>
      </c>
      <c r="E38" s="41">
        <f>C38/원가구조_기준!$C$7</f>
        <v>0.30489874342401213</v>
      </c>
      <c r="I38" s="3"/>
    </row>
    <row r="39" spans="2:9">
      <c r="B39" s="12" t="s">
        <v>224</v>
      </c>
      <c r="C39" s="40">
        <f>주석_보조자료!$E$12*1000</f>
        <v>105065000</v>
      </c>
      <c r="D39" s="40">
        <f>주석_보조자료!$H$12*1000</f>
        <v>29850000</v>
      </c>
      <c r="E39" s="41">
        <f>C39/원가구조_기준!$C$7</f>
        <v>7.9917945892634436E-3</v>
      </c>
      <c r="I39" s="3" t="s">
        <v>758</v>
      </c>
    </row>
    <row r="40" spans="2:9">
      <c r="B40" s="12" t="s">
        <v>759</v>
      </c>
      <c r="C40" s="40">
        <f>주석_보조자료!$E$11*1000</f>
        <v>111254000</v>
      </c>
      <c r="D40" s="40">
        <f>주석_보조자료!$H$11*1000</f>
        <v>95631000</v>
      </c>
      <c r="E40" s="41">
        <f>C40/원가구조_기준!$C$7</f>
        <v>8.4625623683806713E-3</v>
      </c>
      <c r="I40" s="3" t="s">
        <v>758</v>
      </c>
    </row>
    <row r="41" spans="2:9">
      <c r="B41" s="12" t="s">
        <v>221</v>
      </c>
      <c r="C41" s="40">
        <f>주석_보조자료!$E$10*1000</f>
        <v>3349232000</v>
      </c>
      <c r="D41" s="40">
        <f>주석_보조자료!$H$10*1000</f>
        <v>1665933000</v>
      </c>
      <c r="E41" s="41">
        <f>C41/원가구조_기준!$C$7</f>
        <v>0.25476014063473074</v>
      </c>
      <c r="I41" s="3" t="s">
        <v>758</v>
      </c>
    </row>
    <row r="42" spans="2:9">
      <c r="B42" s="5" t="s">
        <v>760</v>
      </c>
      <c r="C42" s="34">
        <f>SUM(C36:C41)</f>
        <v>5326190503</v>
      </c>
      <c r="D42" s="34">
        <f>SUM(D36:D41)</f>
        <v>217532414</v>
      </c>
      <c r="E42" s="64">
        <f>C42/원가구조_기준!$C$7</f>
        <v>0.40513796643279631</v>
      </c>
    </row>
    <row r="43" spans="2:9">
      <c r="B43" s="51" t="s">
        <v>761</v>
      </c>
      <c r="C43" s="90">
        <f>C42/원가구조_기준!$C$7</f>
        <v>0.40513796643279631</v>
      </c>
      <c r="D43" s="90">
        <f>D42/손익계산서_원본!$G$5</f>
        <v>3.8869468684757047E-2</v>
      </c>
    </row>
    <row r="45" spans="2:9" ht="16.5">
      <c r="B45" s="25" t="s">
        <v>762</v>
      </c>
    </row>
    <row r="46" spans="2:9">
      <c r="B46" s="4" t="s">
        <v>75</v>
      </c>
      <c r="C46" s="4" t="s">
        <v>366</v>
      </c>
      <c r="D46" s="4" t="s">
        <v>137</v>
      </c>
      <c r="E46" s="4"/>
      <c r="F46" s="4"/>
      <c r="G46" s="4"/>
      <c r="H46" s="4"/>
      <c r="I46" s="4"/>
    </row>
    <row r="47" spans="2:9">
      <c r="B47" s="12" t="s">
        <v>763</v>
      </c>
      <c r="C47" s="40">
        <f>주석_보조자료!$C$21</f>
        <v>664296932</v>
      </c>
      <c r="D47" s="3" t="s">
        <v>764</v>
      </c>
    </row>
    <row r="48" spans="2:9">
      <c r="B48" s="12" t="s">
        <v>765</v>
      </c>
      <c r="C48" s="40">
        <f>주석_보조자료!$D$21</f>
        <v>212619820</v>
      </c>
      <c r="D48" s="3" t="s">
        <v>766</v>
      </c>
    </row>
    <row r="49" spans="2:9">
      <c r="B49" s="12" t="s">
        <v>767</v>
      </c>
      <c r="C49" s="40">
        <f>주석_보조자료!$C$21-주석_보조자료!$D$21</f>
        <v>451677112</v>
      </c>
      <c r="D49" s="3" t="s">
        <v>768</v>
      </c>
    </row>
    <row r="50" spans="2:9">
      <c r="B50" s="12" t="s">
        <v>769</v>
      </c>
      <c r="C50" s="40">
        <f>원가구조_기준!$C$6*0.1</f>
        <v>1281396699.5</v>
      </c>
      <c r="D50" s="3" t="s">
        <v>770</v>
      </c>
    </row>
    <row r="51" spans="2:9">
      <c r="B51" s="12" t="s">
        <v>771</v>
      </c>
      <c r="C51" s="41">
        <f>주석_보조자료!$C$21/(원가구조_기준!$C$6*0.1)</f>
        <v>0.51841629704462966</v>
      </c>
      <c r="D51" s="3"/>
    </row>
    <row r="52" spans="2:9">
      <c r="B52" s="12" t="s">
        <v>772</v>
      </c>
      <c r="C52" s="91" t="s">
        <v>773</v>
      </c>
      <c r="D52" s="3" t="s">
        <v>774</v>
      </c>
    </row>
    <row r="53" spans="2:9">
      <c r="B53" s="12" t="s">
        <v>775</v>
      </c>
      <c r="C53" s="41">
        <f>(원가구조_기준!$C$20+원가구조_기준!$C$14)/원가구조_기준!$C$11</f>
        <v>0.40980659556799287</v>
      </c>
      <c r="D53" s="3"/>
    </row>
    <row r="55" spans="2:9" ht="16.5">
      <c r="B55" s="25" t="s">
        <v>776</v>
      </c>
    </row>
    <row r="56" spans="2:9">
      <c r="B56" s="4" t="s">
        <v>777</v>
      </c>
      <c r="C56" s="4" t="s">
        <v>354</v>
      </c>
      <c r="D56" s="4" t="s">
        <v>355</v>
      </c>
      <c r="E56" s="4" t="s">
        <v>778</v>
      </c>
      <c r="F56" s="4" t="s">
        <v>253</v>
      </c>
      <c r="G56" s="4"/>
      <c r="H56" s="4"/>
      <c r="I56" s="4"/>
    </row>
    <row r="57" spans="2:9">
      <c r="B57" s="51" t="s">
        <v>779</v>
      </c>
      <c r="C57" s="91">
        <f>원가구조_기준!$C$16/1000000</f>
        <v>2122.8522499999999</v>
      </c>
      <c r="D57" s="91">
        <f>(손익계산서_원본!$G$26+손익계산서_원본!$G$27+손익계산서_원본!$G$28)/1000000</f>
        <v>1122.3396479999999</v>
      </c>
      <c r="E57" s="41">
        <f>C57/D57-1</f>
        <v>0.89145260419419858</v>
      </c>
      <c r="F57" s="41">
        <f>C57*1000000/원가구조_기준!$C$7</f>
        <v>0.1614752688845546</v>
      </c>
    </row>
    <row r="58" spans="2:9">
      <c r="B58" s="12" t="s">
        <v>153</v>
      </c>
      <c r="C58" s="91">
        <f>손익계산서_원본!$D$42/1000000</f>
        <v>540.82021499999996</v>
      </c>
      <c r="D58" s="91">
        <f>손익계산서_원본!$G$42/1000000</f>
        <v>742.50379099999998</v>
      </c>
      <c r="E58" s="41">
        <f>IFERROR(C58/D58-1,"신규")</f>
        <v>-0.27162632493549121</v>
      </c>
      <c r="F58" s="41">
        <f>C58*1000000/원가구조_기준!$C$7</f>
        <v>4.113762021606903E-2</v>
      </c>
    </row>
    <row r="59" spans="2:9">
      <c r="B59" s="12" t="s">
        <v>296</v>
      </c>
      <c r="C59" s="91">
        <f>손익계산서_원본!$D$43/1000000</f>
        <v>106.97359899999999</v>
      </c>
      <c r="D59" s="91">
        <f>손익계산서_원본!$G$43/1000000</f>
        <v>257.02407399999998</v>
      </c>
      <c r="E59" s="41">
        <f>IFERROR(C59/D59-1,"신규")</f>
        <v>-0.58379930200623931</v>
      </c>
      <c r="F59" s="41">
        <f>C59*1000000/원가구조_기준!$C$7</f>
        <v>8.1369726329628082E-3</v>
      </c>
    </row>
    <row r="60" spans="2:9">
      <c r="B60" s="12" t="s">
        <v>288</v>
      </c>
      <c r="C60" s="91">
        <f>손익계산서_원본!$D$34/1000000</f>
        <v>74.136257000000001</v>
      </c>
      <c r="D60" s="91">
        <f>손익계산서_원본!$G$34/1000000</f>
        <v>29.850263999999999</v>
      </c>
      <c r="E60" s="41">
        <f>IFERROR(C60/D60-1,"신규")</f>
        <v>1.4836047346180927</v>
      </c>
      <c r="F60" s="41">
        <f>C60*1000000/원가구조_기준!$C$7</f>
        <v>5.6391922863069923E-3</v>
      </c>
    </row>
    <row r="61" spans="2:9">
      <c r="B61" s="12" t="s">
        <v>223</v>
      </c>
      <c r="C61" s="91">
        <f>손익계산서_원본!$D$33/1000000</f>
        <v>62.971499999999999</v>
      </c>
      <c r="D61" s="91">
        <f>손익계산서_원본!$G$33/1000000</f>
        <v>28.336468</v>
      </c>
      <c r="E61" s="41">
        <f>IFERROR(C61/D61-1,"신규")</f>
        <v>1.2222776670684574</v>
      </c>
      <c r="F61" s="41">
        <f>C61*1000000/원가구조_기준!$C$7</f>
        <v>4.7899423497625559E-3</v>
      </c>
    </row>
    <row r="62" spans="2:9">
      <c r="B62" s="12" t="s">
        <v>287</v>
      </c>
      <c r="C62" s="91">
        <f>손익계산서_원본!$D$32/1000000</f>
        <v>16.446116</v>
      </c>
      <c r="D62" s="91">
        <f>손익계산서_원본!$G$32/1000000</f>
        <v>5.7161010000000001</v>
      </c>
      <c r="E62" s="41">
        <f>IFERROR(C62/D62-1,"신규")</f>
        <v>1.8771562993725968</v>
      </c>
      <c r="F62" s="41">
        <f>C62*1000000/원가구조_기준!$C$7</f>
        <v>1.2509777838785414E-3</v>
      </c>
    </row>
    <row r="63" spans="2:9">
      <c r="B63" s="5" t="s">
        <v>780</v>
      </c>
      <c r="C63" s="34">
        <f>원가구조_기준!$C$12/1000000</f>
        <v>2979.3225259999999</v>
      </c>
      <c r="D63" s="34">
        <f>손익계산서_원본!$G$25/1000000</f>
        <v>2319.5817929999998</v>
      </c>
      <c r="E63" s="64">
        <f>C63/D63-1</f>
        <v>0.28442227602878933</v>
      </c>
      <c r="F63" s="64">
        <f>C63*1000000/원가구조_기준!$C$7</f>
        <v>0.22662288719323748</v>
      </c>
    </row>
    <row r="65" spans="2:3">
      <c r="B65" s="12" t="s">
        <v>781</v>
      </c>
      <c r="C65" s="41">
        <f>원가구조_기준!$C$18/원가구조_기준!$C$12</f>
        <v>0.18152456146669635</v>
      </c>
    </row>
    <row r="66" spans="2:3">
      <c r="B66" s="12" t="s">
        <v>782</v>
      </c>
      <c r="C66" s="91">
        <f>원가구조_기준!$C$18/원가구조_기준!$C$45</f>
        <v>3754.181522632367</v>
      </c>
    </row>
    <row r="67" spans="2:3">
      <c r="B67" s="12" t="s">
        <v>783</v>
      </c>
      <c r="C67" s="41">
        <f>원가구조_기준!$C$18/원가구조_기준!$C$45/원가구조_기준!$C$44</f>
        <v>4.2205525830605585E-2</v>
      </c>
    </row>
    <row r="68" spans="2:3">
      <c r="B68" s="12" t="s">
        <v>784</v>
      </c>
      <c r="C68" s="91">
        <f>원가구조_기준!$C$18+손익계산서_원본!$D$43</f>
        <v>647793814</v>
      </c>
    </row>
    <row r="69" spans="2:3">
      <c r="B69" s="12" t="s">
        <v>785</v>
      </c>
      <c r="C69" s="41">
        <f>(원가구조_기준!$C$18+손익계산서_원본!$D$43)/원가구조_기준!$C$7</f>
        <v>4.9274592849031837E-2</v>
      </c>
    </row>
    <row r="70" spans="2:3">
      <c r="B70" s="12" t="s">
        <v>786</v>
      </c>
      <c r="C70" s="91">
        <f>손익계산서_원본!$G$42+손익계산서_원본!$G$43</f>
        <v>999527865</v>
      </c>
    </row>
    <row r="71" spans="2:3">
      <c r="B71" s="12" t="s">
        <v>785</v>
      </c>
      <c r="C71" s="41">
        <f>(손익계산서_원본!$G$42+손익계산서_원본!$G$43)/손익계산서_원본!$G$5</f>
        <v>0.17859920888920749</v>
      </c>
    </row>
    <row r="72" spans="2:3">
      <c r="B72" s="3" t="s">
        <v>787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M60"/>
  <sheetViews>
    <sheetView topLeftCell="A28" zoomScale="85" zoomScaleNormal="85" workbookViewId="0">
      <selection activeCell="K33" sqref="K33"/>
    </sheetView>
  </sheetViews>
  <sheetFormatPr defaultColWidth="8.7109375" defaultRowHeight="15"/>
  <cols>
    <col min="1" max="1" width="2" customWidth="1"/>
    <col min="2" max="2" width="26" customWidth="1"/>
    <col min="3" max="3" width="30" customWidth="1"/>
    <col min="4" max="4" width="40" customWidth="1"/>
    <col min="5" max="5" width="13" customWidth="1"/>
    <col min="6" max="6" width="15.28515625" customWidth="1"/>
    <col min="7" max="7" width="17.140625" customWidth="1"/>
    <col min="8" max="11" width="13" customWidth="1"/>
    <col min="12" max="12" width="16" customWidth="1"/>
    <col min="13" max="13" width="40" customWidth="1"/>
  </cols>
  <sheetData>
    <row r="1" spans="2:8" ht="26.25">
      <c r="B1" s="2" t="s">
        <v>788</v>
      </c>
    </row>
    <row r="2" spans="2:8">
      <c r="B2" s="3" t="s">
        <v>789</v>
      </c>
    </row>
    <row r="4" spans="2:8" ht="16.5">
      <c r="B4" s="25" t="s">
        <v>790</v>
      </c>
    </row>
    <row r="5" spans="2:8">
      <c r="B5" s="4" t="s">
        <v>249</v>
      </c>
      <c r="C5" s="4" t="s">
        <v>791</v>
      </c>
      <c r="D5" s="4" t="s">
        <v>792</v>
      </c>
      <c r="E5" s="4" t="s">
        <v>793</v>
      </c>
      <c r="F5" s="4" t="s">
        <v>794</v>
      </c>
      <c r="G5" s="4" t="s">
        <v>795</v>
      </c>
      <c r="H5" s="4" t="s">
        <v>796</v>
      </c>
    </row>
    <row r="6" spans="2:8">
      <c r="B6" s="12" t="s">
        <v>797</v>
      </c>
      <c r="C6" s="91">
        <v>81000</v>
      </c>
      <c r="D6" s="91">
        <v>88950</v>
      </c>
      <c r="E6" s="91">
        <v>121500</v>
      </c>
      <c r="F6" s="91">
        <v>133500</v>
      </c>
      <c r="G6" s="91">
        <v>171500</v>
      </c>
      <c r="H6" s="91">
        <v>188500</v>
      </c>
    </row>
    <row r="7" spans="2:8">
      <c r="B7" s="12" t="s">
        <v>798</v>
      </c>
      <c r="C7" s="91">
        <v>73050</v>
      </c>
      <c r="D7" s="91">
        <v>80250</v>
      </c>
      <c r="E7" s="91">
        <v>109500</v>
      </c>
      <c r="F7" s="91">
        <v>120300</v>
      </c>
      <c r="G7" s="91">
        <v>154500</v>
      </c>
      <c r="H7" s="91">
        <v>169800</v>
      </c>
    </row>
    <row r="8" spans="2:8">
      <c r="B8" s="12" t="s">
        <v>799</v>
      </c>
      <c r="C8" s="91">
        <v>65100</v>
      </c>
      <c r="D8" s="91">
        <v>71500</v>
      </c>
      <c r="E8" s="91">
        <v>97500</v>
      </c>
      <c r="F8" s="91">
        <v>107100</v>
      </c>
      <c r="G8" s="91">
        <v>137500</v>
      </c>
      <c r="H8" s="91">
        <v>151100</v>
      </c>
    </row>
    <row r="9" spans="2:8">
      <c r="B9" s="12" t="s">
        <v>800</v>
      </c>
      <c r="C9" s="91">
        <v>41250</v>
      </c>
      <c r="D9" s="91">
        <v>45250</v>
      </c>
      <c r="E9" s="91">
        <v>61500</v>
      </c>
      <c r="F9" s="91">
        <v>67500</v>
      </c>
      <c r="G9" s="91">
        <v>86500</v>
      </c>
      <c r="H9" s="91">
        <v>95000</v>
      </c>
    </row>
    <row r="10" spans="2:8">
      <c r="B10" s="12" t="s">
        <v>801</v>
      </c>
      <c r="C10" s="91">
        <v>40500</v>
      </c>
      <c r="D10" s="91">
        <v>44500</v>
      </c>
      <c r="E10" s="91">
        <v>60750</v>
      </c>
      <c r="F10" s="91">
        <v>66750</v>
      </c>
      <c r="G10" s="91">
        <v>85750</v>
      </c>
      <c r="H10" s="91">
        <v>94250</v>
      </c>
    </row>
    <row r="11" spans="2:8">
      <c r="B11" s="12" t="s">
        <v>802</v>
      </c>
      <c r="C11" s="92" t="s">
        <v>803</v>
      </c>
      <c r="D11" s="92" t="s">
        <v>803</v>
      </c>
      <c r="E11" s="92" t="s">
        <v>803</v>
      </c>
      <c r="F11" s="92" t="s">
        <v>803</v>
      </c>
      <c r="G11" s="92" t="s">
        <v>803</v>
      </c>
      <c r="H11" s="92" t="s">
        <v>803</v>
      </c>
    </row>
    <row r="12" spans="2:8">
      <c r="B12" s="5" t="s">
        <v>804</v>
      </c>
      <c r="C12" s="93">
        <f t="shared" ref="C12:H12" si="0">C6/$C$6</f>
        <v>1</v>
      </c>
      <c r="D12" s="93">
        <f t="shared" si="0"/>
        <v>1.0981481481481481</v>
      </c>
      <c r="E12" s="93">
        <f t="shared" si="0"/>
        <v>1.5</v>
      </c>
      <c r="F12" s="93">
        <f t="shared" si="0"/>
        <v>1.6481481481481481</v>
      </c>
      <c r="G12" s="93">
        <f t="shared" si="0"/>
        <v>2.117283950617284</v>
      </c>
      <c r="H12" s="93">
        <f t="shared" si="0"/>
        <v>2.3271604938271606</v>
      </c>
    </row>
    <row r="13" spans="2:8">
      <c r="B13" s="3" t="s">
        <v>1037</v>
      </c>
    </row>
    <row r="14" spans="2:8">
      <c r="B14" s="3" t="s">
        <v>805</v>
      </c>
    </row>
    <row r="16" spans="2:8" ht="16.5">
      <c r="B16" s="25" t="s">
        <v>806</v>
      </c>
    </row>
    <row r="17" spans="2:11" ht="27">
      <c r="B17" s="4" t="s">
        <v>157</v>
      </c>
      <c r="C17" s="4" t="s">
        <v>807</v>
      </c>
      <c r="D17" s="73" t="s">
        <v>808</v>
      </c>
      <c r="E17" s="4" t="s">
        <v>809</v>
      </c>
      <c r="F17" s="4" t="s">
        <v>810</v>
      </c>
      <c r="G17" s="4" t="s">
        <v>811</v>
      </c>
      <c r="H17" s="4" t="s">
        <v>812</v>
      </c>
      <c r="I17" s="4" t="s">
        <v>813</v>
      </c>
      <c r="J17" s="4" t="s">
        <v>356</v>
      </c>
      <c r="K17" s="4" t="s">
        <v>137</v>
      </c>
    </row>
    <row r="18" spans="2:11">
      <c r="B18" s="12" t="s">
        <v>416</v>
      </c>
      <c r="C18" s="12" t="s">
        <v>814</v>
      </c>
      <c r="D18" s="56">
        <v>3158</v>
      </c>
      <c r="E18" s="94">
        <v>76.7</v>
      </c>
      <c r="F18" s="94">
        <v>20.6</v>
      </c>
      <c r="G18" s="56">
        <v>970</v>
      </c>
      <c r="H18" s="94">
        <v>50.2</v>
      </c>
      <c r="I18" s="12" t="s">
        <v>815</v>
      </c>
      <c r="J18" s="12" t="s">
        <v>816</v>
      </c>
      <c r="K18" s="12" t="s">
        <v>817</v>
      </c>
    </row>
    <row r="19" spans="2:11">
      <c r="B19" s="12" t="s">
        <v>159</v>
      </c>
      <c r="C19" s="12" t="s">
        <v>818</v>
      </c>
      <c r="D19" s="56">
        <v>3300</v>
      </c>
      <c r="E19" s="94">
        <v>72.67</v>
      </c>
      <c r="F19" s="94">
        <v>21</v>
      </c>
      <c r="G19" s="56">
        <v>606</v>
      </c>
      <c r="H19" s="94">
        <v>45</v>
      </c>
      <c r="I19" s="12" t="s">
        <v>819</v>
      </c>
      <c r="J19" s="12" t="s">
        <v>1038</v>
      </c>
      <c r="K19" s="12" t="s">
        <v>820</v>
      </c>
    </row>
    <row r="20" spans="2:11">
      <c r="B20" s="12" t="s">
        <v>821</v>
      </c>
      <c r="C20" s="10" t="s">
        <v>822</v>
      </c>
      <c r="D20" s="56">
        <v>894</v>
      </c>
      <c r="E20" s="94">
        <v>83.5</v>
      </c>
      <c r="F20" s="94">
        <v>20.2</v>
      </c>
      <c r="G20" s="56">
        <v>502</v>
      </c>
      <c r="H20" s="94">
        <v>36</v>
      </c>
      <c r="I20" s="12" t="s">
        <v>823</v>
      </c>
      <c r="J20" s="10" t="s">
        <v>1039</v>
      </c>
      <c r="K20" s="12" t="s">
        <v>824</v>
      </c>
    </row>
    <row r="21" spans="2:11">
      <c r="B21" s="12" t="s">
        <v>825</v>
      </c>
      <c r="C21" s="12" t="s">
        <v>826</v>
      </c>
      <c r="D21" s="56">
        <v>1600</v>
      </c>
      <c r="E21" s="94"/>
      <c r="F21" s="94"/>
      <c r="G21" s="56">
        <v>556</v>
      </c>
      <c r="H21" s="94">
        <v>40</v>
      </c>
      <c r="I21" s="12" t="s">
        <v>827</v>
      </c>
      <c r="J21" s="12" t="s">
        <v>828</v>
      </c>
      <c r="K21" s="12" t="s">
        <v>829</v>
      </c>
    </row>
    <row r="23" spans="2:11" ht="16.5">
      <c r="B23" s="25" t="s">
        <v>830</v>
      </c>
    </row>
    <row r="24" spans="2:11" ht="26.25">
      <c r="B24" s="4" t="s">
        <v>831</v>
      </c>
      <c r="C24" s="4" t="s">
        <v>832</v>
      </c>
      <c r="D24" s="4" t="s">
        <v>833</v>
      </c>
      <c r="E24" s="4" t="s">
        <v>834</v>
      </c>
      <c r="F24" s="4" t="s">
        <v>835</v>
      </c>
      <c r="G24" s="4" t="s">
        <v>836</v>
      </c>
      <c r="H24" s="4" t="s">
        <v>837</v>
      </c>
    </row>
    <row r="25" spans="2:11">
      <c r="B25" s="12" t="s">
        <v>838</v>
      </c>
      <c r="C25" s="12" t="s">
        <v>839</v>
      </c>
      <c r="D25" s="91">
        <v>111910</v>
      </c>
      <c r="E25" s="91">
        <v>107660</v>
      </c>
      <c r="F25" s="91">
        <v>118260</v>
      </c>
      <c r="G25" s="91">
        <v>114010</v>
      </c>
      <c r="H25" s="12" t="s">
        <v>840</v>
      </c>
    </row>
    <row r="26" spans="2:11">
      <c r="B26" s="12" t="s">
        <v>841</v>
      </c>
      <c r="C26" s="12"/>
      <c r="D26" s="91">
        <v>111910</v>
      </c>
      <c r="E26" s="91">
        <v>107660</v>
      </c>
      <c r="F26" s="91">
        <v>118260</v>
      </c>
      <c r="G26" s="91">
        <v>114010</v>
      </c>
      <c r="H26" s="12"/>
    </row>
    <row r="27" spans="2:11">
      <c r="B27" s="12" t="s">
        <v>842</v>
      </c>
      <c r="C27" s="12"/>
      <c r="D27" s="91">
        <v>124730</v>
      </c>
      <c r="E27" s="91">
        <v>120460</v>
      </c>
      <c r="F27" s="91">
        <v>134020</v>
      </c>
      <c r="G27" s="91">
        <v>129750</v>
      </c>
      <c r="H27" s="12"/>
    </row>
    <row r="28" spans="2:11">
      <c r="B28" s="12" t="s">
        <v>843</v>
      </c>
      <c r="C28" s="12" t="s">
        <v>844</v>
      </c>
      <c r="D28" s="91">
        <v>126220</v>
      </c>
      <c r="E28" s="91">
        <v>121440</v>
      </c>
      <c r="F28" s="91">
        <v>133480</v>
      </c>
      <c r="G28" s="91">
        <v>128700</v>
      </c>
      <c r="H28" s="12"/>
    </row>
    <row r="29" spans="2:11">
      <c r="B29" s="12" t="s">
        <v>845</v>
      </c>
      <c r="C29" s="12" t="s">
        <v>846</v>
      </c>
      <c r="D29" s="91">
        <v>140440</v>
      </c>
      <c r="E29" s="91">
        <v>135130</v>
      </c>
      <c r="F29" s="91">
        <v>148600</v>
      </c>
      <c r="G29" s="91">
        <v>143290</v>
      </c>
      <c r="H29" s="12" t="s">
        <v>845</v>
      </c>
    </row>
    <row r="30" spans="2:11">
      <c r="B30" s="12" t="s">
        <v>847</v>
      </c>
      <c r="C30" s="12" t="s">
        <v>848</v>
      </c>
      <c r="D30" s="91">
        <v>154650</v>
      </c>
      <c r="E30" s="91">
        <v>148810</v>
      </c>
      <c r="F30" s="91">
        <v>163720</v>
      </c>
      <c r="G30" s="91">
        <v>157880</v>
      </c>
      <c r="H30" s="12"/>
    </row>
    <row r="31" spans="2:11">
      <c r="B31" s="12" t="s">
        <v>849</v>
      </c>
      <c r="C31" s="12" t="s">
        <v>850</v>
      </c>
      <c r="D31" s="91">
        <v>168860</v>
      </c>
      <c r="E31" s="91">
        <v>162490</v>
      </c>
      <c r="F31" s="91">
        <v>178840</v>
      </c>
      <c r="G31" s="91">
        <v>172470</v>
      </c>
      <c r="H31" s="12" t="s">
        <v>849</v>
      </c>
    </row>
    <row r="32" spans="2:11">
      <c r="B32" s="12" t="s">
        <v>851</v>
      </c>
      <c r="C32" s="12" t="s">
        <v>852</v>
      </c>
      <c r="D32" s="91">
        <v>168860</v>
      </c>
      <c r="E32" s="91">
        <v>162490</v>
      </c>
      <c r="F32" s="91">
        <v>178840</v>
      </c>
      <c r="G32" s="91">
        <v>172470</v>
      </c>
      <c r="H32" s="10" t="s">
        <v>853</v>
      </c>
    </row>
    <row r="33" spans="2:8">
      <c r="B33" s="12" t="s">
        <v>854</v>
      </c>
      <c r="C33" s="12" t="s">
        <v>855</v>
      </c>
      <c r="D33" s="91">
        <v>197490</v>
      </c>
      <c r="E33" s="91">
        <v>190050</v>
      </c>
      <c r="F33" s="91">
        <v>209280</v>
      </c>
      <c r="G33" s="91">
        <v>201840</v>
      </c>
      <c r="H33" s="12" t="s">
        <v>856</v>
      </c>
    </row>
    <row r="34" spans="2:8">
      <c r="B34" s="12" t="s">
        <v>857</v>
      </c>
      <c r="C34" s="12" t="s">
        <v>858</v>
      </c>
      <c r="D34" s="91">
        <v>225920</v>
      </c>
      <c r="E34" s="91">
        <v>217420</v>
      </c>
      <c r="F34" s="91">
        <v>239520</v>
      </c>
      <c r="G34" s="91">
        <v>231020</v>
      </c>
      <c r="H34" s="12"/>
    </row>
    <row r="35" spans="2:8">
      <c r="B35" s="12" t="s">
        <v>859</v>
      </c>
      <c r="C35" s="12"/>
      <c r="D35" s="91">
        <v>151520</v>
      </c>
      <c r="E35" s="91">
        <v>145470</v>
      </c>
      <c r="F35" s="91">
        <v>158780</v>
      </c>
      <c r="G35" s="91">
        <v>152730</v>
      </c>
      <c r="H35" s="12"/>
    </row>
    <row r="36" spans="2:8">
      <c r="B36" s="12" t="s">
        <v>860</v>
      </c>
      <c r="C36" s="12"/>
      <c r="D36" s="91">
        <v>183050</v>
      </c>
      <c r="E36" s="91">
        <v>175790</v>
      </c>
      <c r="F36" s="91">
        <v>192120</v>
      </c>
      <c r="G36" s="91">
        <v>184860</v>
      </c>
      <c r="H36" s="12"/>
    </row>
    <row r="37" spans="2:8">
      <c r="B37" s="12" t="s">
        <v>861</v>
      </c>
      <c r="C37" s="12"/>
      <c r="D37" s="91">
        <v>210560</v>
      </c>
      <c r="E37" s="91">
        <v>202100</v>
      </c>
      <c r="F37" s="91">
        <v>220540</v>
      </c>
      <c r="G37" s="91">
        <v>212080</v>
      </c>
      <c r="H37" s="12"/>
    </row>
    <row r="38" spans="2:8">
      <c r="B38" s="12" t="s">
        <v>862</v>
      </c>
      <c r="C38" s="12"/>
      <c r="D38" s="91">
        <v>246000</v>
      </c>
      <c r="E38" s="91">
        <v>236310</v>
      </c>
      <c r="F38" s="91">
        <v>258700</v>
      </c>
      <c r="G38" s="91">
        <v>249010</v>
      </c>
      <c r="H38" s="12"/>
    </row>
    <row r="39" spans="2:8">
      <c r="B39" s="12" t="s">
        <v>863</v>
      </c>
      <c r="C39" s="12"/>
      <c r="D39" s="91">
        <v>289570</v>
      </c>
      <c r="E39" s="91">
        <v>278610</v>
      </c>
      <c r="F39" s="91">
        <v>306800</v>
      </c>
      <c r="G39" s="91">
        <v>295840</v>
      </c>
      <c r="H39" s="12"/>
    </row>
    <row r="40" spans="2:8">
      <c r="B40" s="10" t="s">
        <v>864</v>
      </c>
      <c r="C40" s="12"/>
      <c r="D40" s="91">
        <v>161360</v>
      </c>
      <c r="E40" s="91">
        <v>161360</v>
      </c>
      <c r="F40" s="91">
        <v>172240</v>
      </c>
      <c r="G40" s="91">
        <v>172240</v>
      </c>
      <c r="H40" s="10" t="s">
        <v>865</v>
      </c>
    </row>
    <row r="41" spans="2:8">
      <c r="B41" s="10" t="s">
        <v>866</v>
      </c>
      <c r="C41" s="12"/>
      <c r="D41" s="91">
        <v>196430</v>
      </c>
      <c r="E41" s="91">
        <v>196430</v>
      </c>
      <c r="F41" s="91">
        <v>211520</v>
      </c>
      <c r="G41" s="91">
        <v>211520</v>
      </c>
      <c r="H41" s="10" t="s">
        <v>867</v>
      </c>
    </row>
    <row r="42" spans="2:8">
      <c r="B42" s="12" t="s">
        <v>868</v>
      </c>
      <c r="C42" s="12"/>
      <c r="D42" s="91">
        <v>22110</v>
      </c>
      <c r="E42" s="91">
        <v>22110</v>
      </c>
      <c r="F42" s="91">
        <v>23020</v>
      </c>
      <c r="G42" s="91">
        <v>23020</v>
      </c>
      <c r="H42" s="12"/>
    </row>
    <row r="43" spans="2:8">
      <c r="B43" s="12" t="s">
        <v>869</v>
      </c>
      <c r="C43" s="12"/>
      <c r="D43" s="91">
        <v>33230</v>
      </c>
      <c r="E43" s="91">
        <v>33230</v>
      </c>
      <c r="F43" s="91">
        <v>35040</v>
      </c>
      <c r="G43" s="91">
        <v>35040</v>
      </c>
      <c r="H43" s="12"/>
    </row>
    <row r="44" spans="2:8">
      <c r="B44" s="12" t="s">
        <v>870</v>
      </c>
      <c r="C44" s="12"/>
      <c r="D44" s="91">
        <v>41440</v>
      </c>
      <c r="E44" s="91">
        <v>41440</v>
      </c>
      <c r="F44" s="91">
        <v>44160</v>
      </c>
      <c r="G44" s="91">
        <v>44160</v>
      </c>
      <c r="H44" s="12" t="s">
        <v>871</v>
      </c>
    </row>
    <row r="45" spans="2:8">
      <c r="B45" s="12" t="s">
        <v>872</v>
      </c>
      <c r="C45" s="12"/>
      <c r="D45" s="91">
        <v>69650</v>
      </c>
      <c r="E45" s="91">
        <v>69650</v>
      </c>
      <c r="F45" s="91">
        <v>73280</v>
      </c>
      <c r="G45" s="91">
        <v>73280</v>
      </c>
      <c r="H45" s="12"/>
    </row>
    <row r="46" spans="2:8">
      <c r="B46" s="12" t="s">
        <v>873</v>
      </c>
      <c r="C46" s="12"/>
      <c r="D46" s="91">
        <v>92570</v>
      </c>
      <c r="E46" s="91">
        <v>92570</v>
      </c>
      <c r="F46" s="91">
        <v>97100</v>
      </c>
      <c r="G46" s="91">
        <v>97100</v>
      </c>
      <c r="H46" s="12"/>
    </row>
    <row r="47" spans="2:8">
      <c r="B47" s="12" t="s">
        <v>874</v>
      </c>
      <c r="C47" s="12"/>
      <c r="D47" s="91">
        <v>126971</v>
      </c>
      <c r="E47" s="91">
        <v>126971</v>
      </c>
      <c r="F47" s="91">
        <v>131500</v>
      </c>
      <c r="G47" s="91">
        <v>131500</v>
      </c>
      <c r="H47" s="12"/>
    </row>
    <row r="48" spans="2:8">
      <c r="B48" s="12" t="s">
        <v>875</v>
      </c>
      <c r="C48" s="12" t="s">
        <v>876</v>
      </c>
      <c r="D48" s="38" t="s">
        <v>877</v>
      </c>
      <c r="E48" s="38" t="s">
        <v>877</v>
      </c>
      <c r="F48" s="38" t="s">
        <v>877</v>
      </c>
      <c r="G48" s="38" t="s">
        <v>877</v>
      </c>
      <c r="H48" s="12"/>
    </row>
    <row r="49" spans="2:13">
      <c r="B49" s="12" t="s">
        <v>878</v>
      </c>
      <c r="C49" s="12" t="s">
        <v>879</v>
      </c>
      <c r="D49" s="38" t="s">
        <v>877</v>
      </c>
      <c r="E49" s="38" t="s">
        <v>877</v>
      </c>
      <c r="F49" s="38" t="s">
        <v>877</v>
      </c>
      <c r="G49" s="38" t="s">
        <v>877</v>
      </c>
      <c r="H49" s="12"/>
    </row>
    <row r="50" spans="2:13">
      <c r="B50" s="3" t="s">
        <v>880</v>
      </c>
    </row>
    <row r="52" spans="2:13" ht="16.5">
      <c r="B52" s="25" t="s">
        <v>881</v>
      </c>
    </row>
    <row r="53" spans="2:13">
      <c r="B53" s="4" t="s">
        <v>882</v>
      </c>
      <c r="C53" s="4" t="s">
        <v>883</v>
      </c>
      <c r="D53" s="4" t="s">
        <v>884</v>
      </c>
      <c r="E53" s="4" t="s">
        <v>840</v>
      </c>
      <c r="F53" s="4" t="s">
        <v>845</v>
      </c>
      <c r="G53" s="4" t="s">
        <v>849</v>
      </c>
      <c r="H53" s="4" t="s">
        <v>885</v>
      </c>
      <c r="I53" s="73" t="s">
        <v>886</v>
      </c>
      <c r="J53" s="73" t="s">
        <v>887</v>
      </c>
      <c r="K53" s="4" t="s">
        <v>888</v>
      </c>
      <c r="L53" s="4" t="s">
        <v>889</v>
      </c>
      <c r="M53" s="4" t="s">
        <v>890</v>
      </c>
    </row>
    <row r="54" spans="2:13">
      <c r="B54" s="35"/>
      <c r="C54" s="35"/>
      <c r="D54" s="5" t="s">
        <v>891</v>
      </c>
      <c r="E54" s="37">
        <f>$D$25</f>
        <v>111910</v>
      </c>
      <c r="F54" s="37">
        <f>$D$29</f>
        <v>140440</v>
      </c>
      <c r="G54" s="37">
        <f>$D$31</f>
        <v>168860</v>
      </c>
      <c r="H54" s="37">
        <f>$D$33</f>
        <v>197490</v>
      </c>
      <c r="I54" s="37">
        <f>$D$40</f>
        <v>161360</v>
      </c>
      <c r="J54" s="37">
        <f>$D$41</f>
        <v>196430</v>
      </c>
      <c r="K54" s="37">
        <f>$D$44</f>
        <v>41440</v>
      </c>
    </row>
    <row r="55" spans="2:13">
      <c r="B55" s="95">
        <v>1</v>
      </c>
      <c r="C55" s="66">
        <v>130.26</v>
      </c>
      <c r="D55" s="12" t="s">
        <v>892</v>
      </c>
      <c r="E55" s="96">
        <v>4</v>
      </c>
      <c r="F55" s="96">
        <v>0</v>
      </c>
      <c r="G55" s="96">
        <v>46</v>
      </c>
      <c r="H55" s="96">
        <v>0</v>
      </c>
      <c r="I55" s="96">
        <v>0</v>
      </c>
      <c r="J55" s="96">
        <v>0</v>
      </c>
      <c r="K55" s="96">
        <v>14</v>
      </c>
      <c r="L55" s="52">
        <f>SUMPRODUCT($E$54:$K$54,E55:K55)</f>
        <v>8795360</v>
      </c>
      <c r="M55" s="12" t="s">
        <v>893</v>
      </c>
    </row>
    <row r="56" spans="2:13">
      <c r="B56" s="95">
        <v>2</v>
      </c>
      <c r="C56" s="66">
        <v>111.563</v>
      </c>
      <c r="D56" s="12" t="s">
        <v>894</v>
      </c>
      <c r="E56" s="96">
        <v>4</v>
      </c>
      <c r="F56" s="96">
        <v>53</v>
      </c>
      <c r="G56" s="96">
        <v>0</v>
      </c>
      <c r="H56" s="96">
        <v>0</v>
      </c>
      <c r="I56" s="96">
        <v>0</v>
      </c>
      <c r="J56" s="96">
        <v>0</v>
      </c>
      <c r="K56" s="96">
        <v>14</v>
      </c>
      <c r="L56" s="52">
        <f>SUMPRODUCT($E$54:$K$54,E56:K56)</f>
        <v>8471120</v>
      </c>
      <c r="M56" s="12" t="s">
        <v>893</v>
      </c>
    </row>
    <row r="57" spans="2:13">
      <c r="B57" s="95">
        <v>3</v>
      </c>
      <c r="C57" s="66">
        <v>101.617</v>
      </c>
      <c r="D57" s="12" t="s">
        <v>895</v>
      </c>
      <c r="E57" s="96">
        <v>79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6">
        <v>14</v>
      </c>
      <c r="L57" s="52">
        <f>SUMPRODUCT($E$54:$K$54,E57:K57)</f>
        <v>9421050</v>
      </c>
      <c r="M57" s="12" t="s">
        <v>893</v>
      </c>
    </row>
    <row r="58" spans="2:13">
      <c r="B58" s="95">
        <v>4</v>
      </c>
      <c r="C58" s="66">
        <v>150.762</v>
      </c>
      <c r="D58" s="10" t="s">
        <v>896</v>
      </c>
      <c r="E58" s="96">
        <v>4</v>
      </c>
      <c r="F58" s="96">
        <v>0</v>
      </c>
      <c r="G58" s="96">
        <v>0</v>
      </c>
      <c r="H58" s="96">
        <v>0</v>
      </c>
      <c r="I58" s="96">
        <v>38</v>
      </c>
      <c r="J58" s="96">
        <v>0</v>
      </c>
      <c r="K58" s="96">
        <v>0</v>
      </c>
      <c r="L58" s="52">
        <f>SUMPRODUCT($E$54:$K$54,E58:K58)</f>
        <v>6579320</v>
      </c>
      <c r="M58" s="12" t="s">
        <v>897</v>
      </c>
    </row>
    <row r="59" spans="2:13">
      <c r="B59" s="95">
        <v>5</v>
      </c>
      <c r="C59" s="66">
        <v>129.065</v>
      </c>
      <c r="D59" s="12" t="s">
        <v>898</v>
      </c>
      <c r="E59" s="96">
        <v>0</v>
      </c>
      <c r="F59" s="96">
        <v>0</v>
      </c>
      <c r="G59" s="96">
        <v>3</v>
      </c>
      <c r="H59" s="96">
        <v>0</v>
      </c>
      <c r="I59" s="96">
        <v>0</v>
      </c>
      <c r="J59" s="96">
        <v>5</v>
      </c>
      <c r="K59" s="96">
        <v>6</v>
      </c>
      <c r="L59" s="52">
        <f>SUMPRODUCT($E$54:$K$54,E59:K59)</f>
        <v>1737370</v>
      </c>
      <c r="M59" s="12" t="s">
        <v>899</v>
      </c>
    </row>
    <row r="60" spans="2:13">
      <c r="B60" s="3" t="s">
        <v>900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1:D40"/>
  <sheetViews>
    <sheetView tabSelected="1" zoomScale="85" zoomScaleNormal="85" workbookViewId="0">
      <selection activeCell="H15" sqref="H15"/>
    </sheetView>
  </sheetViews>
  <sheetFormatPr defaultColWidth="8.7109375" defaultRowHeight="15"/>
  <cols>
    <col min="1" max="1" width="2" customWidth="1"/>
    <col min="2" max="2" width="30" customWidth="1"/>
    <col min="3" max="3" width="100" customWidth="1"/>
    <col min="4" max="4" width="60" customWidth="1"/>
  </cols>
  <sheetData>
    <row r="1" spans="2:4" ht="26.25">
      <c r="B1" s="2" t="s">
        <v>950</v>
      </c>
    </row>
    <row r="2" spans="2:4">
      <c r="B2" s="3" t="s">
        <v>951</v>
      </c>
    </row>
    <row r="4" spans="2:4" ht="16.5">
      <c r="B4" s="25" t="s">
        <v>952</v>
      </c>
    </row>
    <row r="5" spans="2:4">
      <c r="B5" s="4" t="s">
        <v>249</v>
      </c>
      <c r="C5" s="4" t="s">
        <v>953</v>
      </c>
      <c r="D5" s="4" t="s">
        <v>426</v>
      </c>
    </row>
    <row r="6" spans="2:4" ht="45" customHeight="1">
      <c r="B6" s="98" t="s">
        <v>954</v>
      </c>
      <c r="C6" s="99" t="s">
        <v>955</v>
      </c>
      <c r="D6" s="99" t="s">
        <v>956</v>
      </c>
    </row>
    <row r="7" spans="2:4" ht="45" customHeight="1">
      <c r="B7" s="98" t="s">
        <v>957</v>
      </c>
      <c r="C7" s="99" t="s">
        <v>958</v>
      </c>
      <c r="D7" s="99" t="s">
        <v>959</v>
      </c>
    </row>
    <row r="8" spans="2:4" ht="45" customHeight="1">
      <c r="B8" s="98" t="s">
        <v>960</v>
      </c>
      <c r="C8" s="99" t="s">
        <v>961</v>
      </c>
      <c r="D8" s="99" t="s">
        <v>959</v>
      </c>
    </row>
    <row r="9" spans="2:4" ht="45" customHeight="1">
      <c r="B9" s="98" t="s">
        <v>962</v>
      </c>
      <c r="C9" s="99" t="s">
        <v>963</v>
      </c>
      <c r="D9" s="99" t="s">
        <v>1040</v>
      </c>
    </row>
    <row r="10" spans="2:4" ht="45" customHeight="1">
      <c r="B10" s="98" t="s">
        <v>964</v>
      </c>
      <c r="C10" s="99" t="s">
        <v>965</v>
      </c>
      <c r="D10" s="99" t="s">
        <v>966</v>
      </c>
    </row>
    <row r="11" spans="2:4" ht="45" customHeight="1">
      <c r="B11" s="98" t="s">
        <v>967</v>
      </c>
      <c r="C11" s="100" t="s">
        <v>968</v>
      </c>
      <c r="D11" s="99" t="s">
        <v>969</v>
      </c>
    </row>
    <row r="12" spans="2:4" ht="45" customHeight="1">
      <c r="B12" s="98" t="s">
        <v>970</v>
      </c>
      <c r="C12" s="99" t="s">
        <v>971</v>
      </c>
      <c r="D12" s="99" t="s">
        <v>972</v>
      </c>
    </row>
    <row r="13" spans="2:4" ht="45" customHeight="1">
      <c r="B13" s="98" t="s">
        <v>973</v>
      </c>
      <c r="C13" s="99" t="s">
        <v>974</v>
      </c>
      <c r="D13" s="99" t="s">
        <v>1041</v>
      </c>
    </row>
    <row r="14" spans="2:4" ht="45" customHeight="1">
      <c r="B14" s="101" t="s">
        <v>1042</v>
      </c>
      <c r="C14" s="99" t="s">
        <v>1043</v>
      </c>
      <c r="D14" s="99" t="s">
        <v>975</v>
      </c>
    </row>
    <row r="16" spans="2:4" ht="16.5">
      <c r="B16" s="25" t="s">
        <v>976</v>
      </c>
    </row>
    <row r="17" spans="2:4">
      <c r="B17" s="4" t="s">
        <v>977</v>
      </c>
      <c r="C17" s="4" t="s">
        <v>978</v>
      </c>
      <c r="D17" s="4" t="s">
        <v>979</v>
      </c>
    </row>
    <row r="18" spans="2:4" ht="30" customHeight="1">
      <c r="B18" s="98" t="s">
        <v>980</v>
      </c>
      <c r="C18" s="99" t="s">
        <v>981</v>
      </c>
      <c r="D18" s="100" t="s">
        <v>982</v>
      </c>
    </row>
    <row r="19" spans="2:4" ht="30" customHeight="1">
      <c r="B19" s="98" t="s">
        <v>983</v>
      </c>
      <c r="C19" s="99" t="s">
        <v>984</v>
      </c>
      <c r="D19" s="100" t="s">
        <v>1044</v>
      </c>
    </row>
    <row r="20" spans="2:4" ht="30" customHeight="1">
      <c r="B20" s="98" t="s">
        <v>985</v>
      </c>
      <c r="C20" s="99" t="s">
        <v>986</v>
      </c>
      <c r="D20" s="100" t="s">
        <v>987</v>
      </c>
    </row>
    <row r="21" spans="2:4" ht="30" customHeight="1">
      <c r="B21" s="98" t="s">
        <v>988</v>
      </c>
      <c r="C21" s="99" t="s">
        <v>989</v>
      </c>
      <c r="D21" s="99" t="s">
        <v>990</v>
      </c>
    </row>
    <row r="22" spans="2:4" ht="30" customHeight="1">
      <c r="B22" s="98" t="s">
        <v>991</v>
      </c>
      <c r="C22" s="99" t="s">
        <v>992</v>
      </c>
      <c r="D22" s="99" t="s">
        <v>993</v>
      </c>
    </row>
    <row r="23" spans="2:4" ht="30" customHeight="1">
      <c r="B23" s="98" t="s">
        <v>994</v>
      </c>
      <c r="C23" s="99" t="s">
        <v>995</v>
      </c>
      <c r="D23" s="99" t="s">
        <v>996</v>
      </c>
    </row>
    <row r="24" spans="2:4" ht="30" customHeight="1">
      <c r="B24" s="101" t="s">
        <v>997</v>
      </c>
      <c r="C24" s="99" t="s">
        <v>998</v>
      </c>
      <c r="D24" s="100" t="s">
        <v>999</v>
      </c>
    </row>
    <row r="25" spans="2:4" ht="30" customHeight="1">
      <c r="B25" s="98" t="s">
        <v>1045</v>
      </c>
      <c r="C25" s="99" t="s">
        <v>1000</v>
      </c>
      <c r="D25" s="100" t="s">
        <v>1039</v>
      </c>
    </row>
    <row r="27" spans="2:4" ht="16.5">
      <c r="B27" s="25" t="s">
        <v>1001</v>
      </c>
    </row>
    <row r="28" spans="2:4">
      <c r="B28" s="4" t="s">
        <v>1002</v>
      </c>
      <c r="C28" s="4" t="s">
        <v>1003</v>
      </c>
      <c r="D28" s="4"/>
    </row>
    <row r="29" spans="2:4">
      <c r="B29" s="51" t="s">
        <v>88</v>
      </c>
      <c r="C29" s="12" t="s">
        <v>1004</v>
      </c>
    </row>
    <row r="30" spans="2:4">
      <c r="B30" s="51" t="s">
        <v>417</v>
      </c>
      <c r="C30" s="12" t="s">
        <v>1005</v>
      </c>
    </row>
    <row r="31" spans="2:4">
      <c r="B31" s="51" t="s">
        <v>1006</v>
      </c>
      <c r="C31" s="12" t="s">
        <v>1007</v>
      </c>
    </row>
    <row r="32" spans="2:4">
      <c r="B32" s="51" t="s">
        <v>1008</v>
      </c>
      <c r="C32" s="12" t="s">
        <v>1009</v>
      </c>
    </row>
    <row r="33" spans="2:3">
      <c r="B33" s="51" t="s">
        <v>1010</v>
      </c>
      <c r="C33" s="12" t="s">
        <v>1011</v>
      </c>
    </row>
    <row r="34" spans="2:3">
      <c r="B34" s="51" t="s">
        <v>441</v>
      </c>
      <c r="C34" s="12" t="s">
        <v>1012</v>
      </c>
    </row>
    <row r="35" spans="2:3">
      <c r="B35" s="51" t="s">
        <v>1013</v>
      </c>
      <c r="C35" s="12" t="s">
        <v>1014</v>
      </c>
    </row>
    <row r="36" spans="2:3">
      <c r="B36" s="55" t="s">
        <v>303</v>
      </c>
      <c r="C36" s="12" t="s">
        <v>1015</v>
      </c>
    </row>
    <row r="37" spans="2:3">
      <c r="B37" s="55" t="s">
        <v>1016</v>
      </c>
      <c r="C37" s="10" t="s">
        <v>1017</v>
      </c>
    </row>
    <row r="38" spans="2:3">
      <c r="B38" s="51" t="s">
        <v>1018</v>
      </c>
      <c r="C38" s="12" t="s">
        <v>1019</v>
      </c>
    </row>
    <row r="39" spans="2:3">
      <c r="B39" s="51" t="s">
        <v>1020</v>
      </c>
      <c r="C39" s="12" t="s">
        <v>1021</v>
      </c>
    </row>
    <row r="40" spans="2:3">
      <c r="B40" s="51" t="s">
        <v>623</v>
      </c>
      <c r="C40" s="12" t="s">
        <v>1022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G33"/>
  <sheetViews>
    <sheetView zoomScale="85" zoomScaleNormal="85" workbookViewId="0">
      <selection activeCell="D31" sqref="D31"/>
    </sheetView>
  </sheetViews>
  <sheetFormatPr defaultColWidth="8.7109375" defaultRowHeight="15"/>
  <cols>
    <col min="1" max="1" width="2" customWidth="1"/>
    <col min="2" max="2" width="58" customWidth="1"/>
    <col min="3" max="4" width="18" customWidth="1"/>
    <col min="5" max="5" width="14" customWidth="1"/>
    <col min="6" max="6" width="10" customWidth="1"/>
    <col min="7" max="7" width="26" customWidth="1"/>
  </cols>
  <sheetData>
    <row r="1" spans="2:7" ht="26.25">
      <c r="B1" s="2" t="s">
        <v>901</v>
      </c>
    </row>
    <row r="2" spans="2:7">
      <c r="B2" s="3" t="s">
        <v>902</v>
      </c>
    </row>
    <row r="4" spans="2:7" ht="26.25">
      <c r="B4" s="4" t="s">
        <v>903</v>
      </c>
      <c r="C4" s="4" t="s">
        <v>904</v>
      </c>
      <c r="D4" s="4" t="s">
        <v>905</v>
      </c>
      <c r="E4" s="4" t="s">
        <v>906</v>
      </c>
      <c r="F4" s="4" t="s">
        <v>549</v>
      </c>
      <c r="G4" s="4" t="s">
        <v>356</v>
      </c>
    </row>
    <row r="5" spans="2:7">
      <c r="B5" s="12" t="s">
        <v>907</v>
      </c>
      <c r="C5" s="91">
        <f>손익계산서_원본!$D$26+손익계산서_원본!$D$12</f>
        <v>3076866650</v>
      </c>
      <c r="D5" s="91">
        <f>주석_보조자료!$E$6*1000</f>
        <v>3076867000</v>
      </c>
      <c r="E5" s="84">
        <f t="shared" ref="E5:E30" si="0">C5-D5</f>
        <v>-350</v>
      </c>
      <c r="F5" s="38" t="str">
        <f t="shared" ref="F5:F13" si="1">IF(ABS(E5)&lt;=1000,"OK","확인")</f>
        <v>OK</v>
      </c>
      <c r="G5" s="12" t="s">
        <v>758</v>
      </c>
    </row>
    <row r="6" spans="2:7">
      <c r="B6" s="12" t="s">
        <v>908</v>
      </c>
      <c r="C6" s="91">
        <f>손익계산서_원본!$D$27+손익계산서_원본!$D$13</f>
        <v>300672193</v>
      </c>
      <c r="D6" s="91">
        <f>주석_보조자료!$E$7*1000</f>
        <v>300672000</v>
      </c>
      <c r="E6" s="84">
        <f t="shared" si="0"/>
        <v>193</v>
      </c>
      <c r="F6" s="38" t="str">
        <f t="shared" si="1"/>
        <v>OK</v>
      </c>
      <c r="G6" s="12" t="s">
        <v>758</v>
      </c>
    </row>
    <row r="7" spans="2:7">
      <c r="B7" s="12" t="s">
        <v>909</v>
      </c>
      <c r="C7" s="91">
        <f>손익계산서_원본!$D$28+손익계산서_원본!$D$14</f>
        <v>414904407</v>
      </c>
      <c r="D7" s="91">
        <f>주석_보조자료!$E$8*1000</f>
        <v>414904000</v>
      </c>
      <c r="E7" s="84">
        <f t="shared" si="0"/>
        <v>407</v>
      </c>
      <c r="F7" s="38" t="str">
        <f t="shared" si="1"/>
        <v>OK</v>
      </c>
      <c r="G7" s="12" t="s">
        <v>758</v>
      </c>
    </row>
    <row r="8" spans="2:7">
      <c r="B8" s="12" t="s">
        <v>910</v>
      </c>
      <c r="C8" s="91">
        <f>원가구조_기준!$C$21</f>
        <v>3792443250</v>
      </c>
      <c r="D8" s="91">
        <f>주석_보조자료!$E$9*1000</f>
        <v>3792443000</v>
      </c>
      <c r="E8" s="84">
        <f t="shared" si="0"/>
        <v>250</v>
      </c>
      <c r="F8" s="38" t="str">
        <f t="shared" si="1"/>
        <v>OK</v>
      </c>
      <c r="G8" s="12" t="s">
        <v>758</v>
      </c>
    </row>
    <row r="9" spans="2:7">
      <c r="B9" s="12" t="s">
        <v>357</v>
      </c>
      <c r="C9" s="91">
        <f>손익계산서_원본!$D$27+손익계산서_원본!$D$13</f>
        <v>300672193</v>
      </c>
      <c r="D9" s="91">
        <f>주석_보조자료!$C$19</f>
        <v>300671000</v>
      </c>
      <c r="E9" s="84">
        <f t="shared" si="0"/>
        <v>1193</v>
      </c>
      <c r="F9" s="38" t="str">
        <f t="shared" si="1"/>
        <v>확인</v>
      </c>
      <c r="G9" s="12" t="s">
        <v>1046</v>
      </c>
    </row>
    <row r="10" spans="2:7">
      <c r="B10" s="12" t="s">
        <v>911</v>
      </c>
      <c r="C10" s="91">
        <f>손익계산서_원본!$D$25</f>
        <v>2979322526</v>
      </c>
      <c r="D10" s="91">
        <v>2979322526</v>
      </c>
      <c r="E10" s="84">
        <f t="shared" si="0"/>
        <v>0</v>
      </c>
      <c r="F10" s="38" t="str">
        <f t="shared" si="1"/>
        <v>OK</v>
      </c>
      <c r="G10" s="12" t="s">
        <v>912</v>
      </c>
    </row>
    <row r="11" spans="2:7">
      <c r="B11" s="12" t="s">
        <v>913</v>
      </c>
      <c r="C11" s="91">
        <f>손익계산서_원본!$D$5</f>
        <v>13146609166</v>
      </c>
      <c r="D11" s="91">
        <v>13146609166</v>
      </c>
      <c r="E11" s="84">
        <f t="shared" si="0"/>
        <v>0</v>
      </c>
      <c r="F11" s="38" t="str">
        <f t="shared" si="1"/>
        <v>OK</v>
      </c>
      <c r="G11" s="12" t="s">
        <v>914</v>
      </c>
    </row>
    <row r="12" spans="2:7">
      <c r="B12" s="12" t="s">
        <v>915</v>
      </c>
      <c r="C12" s="91">
        <f>SUM(손익계산서_원본!D12:D18)</f>
        <v>12246808749</v>
      </c>
      <c r="D12" s="91">
        <f>손익계산서_원본!$D$11</f>
        <v>12246808749</v>
      </c>
      <c r="E12" s="84">
        <f t="shared" si="0"/>
        <v>0</v>
      </c>
      <c r="F12" s="38" t="str">
        <f t="shared" si="1"/>
        <v>OK</v>
      </c>
      <c r="G12" s="12" t="s">
        <v>916</v>
      </c>
    </row>
    <row r="13" spans="2:7">
      <c r="B13" s="12" t="s">
        <v>917</v>
      </c>
      <c r="C13" s="91">
        <f>SUM(손익계산서_원본!G12:G18)</f>
        <v>6725627421</v>
      </c>
      <c r="D13" s="91">
        <f>손익계산서_원본!$G$11</f>
        <v>6725627421</v>
      </c>
      <c r="E13" s="84">
        <f t="shared" si="0"/>
        <v>0</v>
      </c>
      <c r="F13" s="38" t="str">
        <f t="shared" si="1"/>
        <v>OK</v>
      </c>
      <c r="G13" s="12" t="s">
        <v>916</v>
      </c>
    </row>
    <row r="14" spans="2:7">
      <c r="B14" s="12" t="s">
        <v>918</v>
      </c>
      <c r="C14" s="91">
        <f>SUM(손익계산서_원본!D19:D23)</f>
        <v>7148774749.000001</v>
      </c>
      <c r="D14" s="91">
        <f>손익계산서_원본!$D$18</f>
        <v>7148774749</v>
      </c>
      <c r="E14" s="84">
        <f t="shared" si="0"/>
        <v>0</v>
      </c>
      <c r="F14" s="38" t="str">
        <f>IF(ABS(E14)&lt;=1,"OK","확인")</f>
        <v>OK</v>
      </c>
      <c r="G14" s="12" t="s">
        <v>919</v>
      </c>
    </row>
    <row r="15" spans="2:7">
      <c r="B15" s="12" t="s">
        <v>920</v>
      </c>
      <c r="C15" s="91">
        <f>손익계산서_원본!$D$24</f>
        <v>899800417</v>
      </c>
      <c r="D15" s="91">
        <v>899800417</v>
      </c>
      <c r="E15" s="84">
        <f t="shared" si="0"/>
        <v>0</v>
      </c>
      <c r="F15" s="38" t="str">
        <f t="shared" ref="F15:F22" si="2">IF(ABS(E15)&lt;=1000,"OK","확인")</f>
        <v>OK</v>
      </c>
      <c r="G15" s="12" t="s">
        <v>921</v>
      </c>
    </row>
    <row r="16" spans="2:7">
      <c r="B16" s="12" t="s">
        <v>922</v>
      </c>
      <c r="C16" s="91">
        <f>손익계산서_원본!$D$45</f>
        <v>-2079522109</v>
      </c>
      <c r="D16" s="91">
        <v>-2079522109</v>
      </c>
      <c r="E16" s="84">
        <f t="shared" si="0"/>
        <v>0</v>
      </c>
      <c r="F16" s="38" t="str">
        <f t="shared" si="2"/>
        <v>OK</v>
      </c>
      <c r="G16" s="12" t="s">
        <v>923</v>
      </c>
    </row>
    <row r="17" spans="2:7">
      <c r="B17" s="12" t="s">
        <v>924</v>
      </c>
      <c r="C17" s="91">
        <f>손익계산서_원본!$D$48</f>
        <v>81389927</v>
      </c>
      <c r="D17" s="91">
        <v>81389927</v>
      </c>
      <c r="E17" s="84">
        <f t="shared" si="0"/>
        <v>0</v>
      </c>
      <c r="F17" s="38" t="str">
        <f t="shared" si="2"/>
        <v>OK</v>
      </c>
      <c r="G17" s="12" t="s">
        <v>925</v>
      </c>
    </row>
    <row r="18" spans="2:7">
      <c r="B18" s="12" t="s">
        <v>926</v>
      </c>
      <c r="C18" s="91">
        <f>손익계산서_원본!$D$53</f>
        <v>4042055930</v>
      </c>
      <c r="D18" s="91">
        <v>4042055930</v>
      </c>
      <c r="E18" s="84">
        <f t="shared" si="0"/>
        <v>0</v>
      </c>
      <c r="F18" s="38" t="str">
        <f t="shared" si="2"/>
        <v>OK</v>
      </c>
      <c r="G18" s="12" t="s">
        <v>927</v>
      </c>
    </row>
    <row r="19" spans="2:7">
      <c r="B19" s="12" t="s">
        <v>928</v>
      </c>
      <c r="C19" s="91">
        <f>손익계산서_원본!$D$58</f>
        <v>-6040188112</v>
      </c>
      <c r="D19" s="91">
        <v>-6040188112</v>
      </c>
      <c r="E19" s="84">
        <f t="shared" si="0"/>
        <v>0</v>
      </c>
      <c r="F19" s="38" t="str">
        <f t="shared" si="2"/>
        <v>OK</v>
      </c>
      <c r="G19" s="12" t="s">
        <v>929</v>
      </c>
    </row>
    <row r="20" spans="2:7">
      <c r="B20" s="12" t="s">
        <v>930</v>
      </c>
      <c r="C20" s="91">
        <f>손익계산서_원본!$D$60</f>
        <v>-6040188112</v>
      </c>
      <c r="D20" s="91">
        <v>-6040188112</v>
      </c>
      <c r="E20" s="84">
        <f t="shared" si="0"/>
        <v>0</v>
      </c>
      <c r="F20" s="38" t="str">
        <f t="shared" si="2"/>
        <v>OK</v>
      </c>
      <c r="G20" s="12" t="s">
        <v>931</v>
      </c>
    </row>
    <row r="21" spans="2:7">
      <c r="B21" s="12" t="s">
        <v>932</v>
      </c>
      <c r="C21" s="91">
        <f>손익계산서_원본!$G$45</f>
        <v>-3448723814</v>
      </c>
      <c r="D21" s="91">
        <v>-3448723814</v>
      </c>
      <c r="E21" s="84">
        <f t="shared" si="0"/>
        <v>0</v>
      </c>
      <c r="F21" s="38" t="str">
        <f t="shared" si="2"/>
        <v>OK</v>
      </c>
      <c r="G21" s="12" t="s">
        <v>933</v>
      </c>
    </row>
    <row r="22" spans="2:7">
      <c r="B22" s="12" t="s">
        <v>934</v>
      </c>
      <c r="C22" s="91">
        <f>손익계산서_원본!$G$60</f>
        <v>-5776402130</v>
      </c>
      <c r="D22" s="91">
        <v>-5776402130</v>
      </c>
      <c r="E22" s="84">
        <f t="shared" si="0"/>
        <v>0</v>
      </c>
      <c r="F22" s="38" t="str">
        <f t="shared" si="2"/>
        <v>OK</v>
      </c>
      <c r="G22" s="12" t="s">
        <v>935</v>
      </c>
    </row>
    <row r="23" spans="2:7">
      <c r="B23" s="10" t="s">
        <v>936</v>
      </c>
      <c r="C23" s="91">
        <f>손익계산서_원본!$D$45+손익계산서_원본!$D$15</f>
        <v>1269709891</v>
      </c>
      <c r="D23" s="91">
        <f>손익계산서_원본!$D$47</f>
        <v>1269709891</v>
      </c>
      <c r="E23" s="84">
        <f t="shared" si="0"/>
        <v>0</v>
      </c>
      <c r="F23" s="38" t="str">
        <f t="shared" ref="F23:F30" si="3">IF(ABS(E23)&lt;=1,"OK","확인")</f>
        <v>OK</v>
      </c>
      <c r="G23" s="12" t="s">
        <v>937</v>
      </c>
    </row>
    <row r="24" spans="2:7">
      <c r="B24" s="12" t="s">
        <v>938</v>
      </c>
      <c r="C24" s="91">
        <f>손익계산서_원본!$D$60+손익계산서_원본!$D$54+N(손익계산서_원본!$D$59)+손익계산서_원본!$D$15</f>
        <v>1317899124</v>
      </c>
      <c r="D24" s="91">
        <f>손익계산서_원본!$D$65</f>
        <v>1317899124</v>
      </c>
      <c r="E24" s="84">
        <f t="shared" si="0"/>
        <v>0</v>
      </c>
      <c r="F24" s="38" t="str">
        <f t="shared" si="3"/>
        <v>OK</v>
      </c>
      <c r="G24" s="12" t="s">
        <v>937</v>
      </c>
    </row>
    <row r="25" spans="2:7">
      <c r="B25" s="12" t="s">
        <v>939</v>
      </c>
      <c r="C25" s="91">
        <f>손익계산서_원본!$D$68</f>
        <v>1269709891</v>
      </c>
      <c r="D25" s="91">
        <f>손익계산서_원본!$D$47</f>
        <v>1269709891</v>
      </c>
      <c r="E25" s="84">
        <f t="shared" si="0"/>
        <v>0</v>
      </c>
      <c r="F25" s="38" t="str">
        <f t="shared" si="3"/>
        <v>OK</v>
      </c>
      <c r="G25" s="12" t="s">
        <v>940</v>
      </c>
    </row>
    <row r="26" spans="2:7">
      <c r="B26" s="12" t="s">
        <v>941</v>
      </c>
      <c r="C26" s="91">
        <f>대조선박_손익!$C$87</f>
        <v>1503602801.0201945</v>
      </c>
      <c r="D26" s="91">
        <f>목표이익률_지표!$C$77</f>
        <v>1503602801.0201988</v>
      </c>
      <c r="E26" s="84">
        <f t="shared" si="0"/>
        <v>-4.291534423828125E-6</v>
      </c>
      <c r="F26" s="38" t="str">
        <f t="shared" si="3"/>
        <v>OK</v>
      </c>
      <c r="G26" s="12" t="s">
        <v>942</v>
      </c>
    </row>
    <row r="27" spans="2:7">
      <c r="B27" s="12" t="s">
        <v>943</v>
      </c>
      <c r="C27" s="91">
        <f>'10개년_예상'!$D$48*1000000</f>
        <v>803602801.0201931</v>
      </c>
      <c r="D27" s="91">
        <f>대조선박_손익!$C$87-대조선박_손익!$C$90</f>
        <v>803602801.02019441</v>
      </c>
      <c r="E27" s="84">
        <f t="shared" si="0"/>
        <v>-1.3113021850585938E-6</v>
      </c>
      <c r="F27" s="38" t="str">
        <f t="shared" si="3"/>
        <v>OK</v>
      </c>
      <c r="G27" s="12" t="s">
        <v>944</v>
      </c>
    </row>
    <row r="28" spans="2:7">
      <c r="B28" s="12" t="s">
        <v>945</v>
      </c>
      <c r="C28" s="91">
        <f>'10개년_예상'!$D$7*1000000</f>
        <v>23000277600</v>
      </c>
      <c r="D28" s="91">
        <f>대조선박_손익!$C$48</f>
        <v>23000277600</v>
      </c>
      <c r="E28" s="84">
        <f t="shared" si="0"/>
        <v>0</v>
      </c>
      <c r="F28" s="38" t="str">
        <f t="shared" si="3"/>
        <v>OK</v>
      </c>
      <c r="G28" s="12"/>
    </row>
    <row r="29" spans="2:7">
      <c r="B29" s="12" t="s">
        <v>946</v>
      </c>
      <c r="C29" s="91">
        <f>대조선박_손익!$C$59</f>
        <v>14376860287.165241</v>
      </c>
      <c r="D29" s="91">
        <f>SUM(대조선박_손익!C60:C64)</f>
        <v>14376860287.165241</v>
      </c>
      <c r="E29" s="84">
        <f t="shared" si="0"/>
        <v>0</v>
      </c>
      <c r="F29" s="38" t="str">
        <f t="shared" si="3"/>
        <v>OK</v>
      </c>
      <c r="G29" s="12"/>
    </row>
    <row r="30" spans="2:7">
      <c r="B30" s="12" t="s">
        <v>947</v>
      </c>
      <c r="C30" s="91">
        <f>SUM(차입금_상환!F20:F34)</f>
        <v>20000000000</v>
      </c>
      <c r="D30" s="91">
        <f>차입금_상환!$C$6</f>
        <v>20000000000</v>
      </c>
      <c r="E30" s="84">
        <f t="shared" si="0"/>
        <v>0</v>
      </c>
      <c r="F30" s="38" t="str">
        <f t="shared" si="3"/>
        <v>OK</v>
      </c>
      <c r="G30" s="12" t="s">
        <v>948</v>
      </c>
    </row>
    <row r="32" spans="2:7">
      <c r="B32" s="19" t="s">
        <v>949</v>
      </c>
      <c r="F32" s="97" t="str">
        <f>COUNTIF(F5:F30,"OK")&amp;" / 26 OK"</f>
        <v>25 / 26 OK</v>
      </c>
    </row>
    <row r="33" spans="2:2">
      <c r="B33" s="22" t="s">
        <v>1047</v>
      </c>
    </row>
  </sheetData>
  <phoneticPr fontId="13" type="noConversion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설정값</vt:lpstr>
      <vt:lpstr>손익계산서_원본</vt:lpstr>
      <vt:lpstr>주석_보조자료</vt:lpstr>
      <vt:lpstr>원가구조_기준</vt:lpstr>
      <vt:lpstr>대조선박_손익</vt:lpstr>
      <vt:lpstr>차입금_상환</vt:lpstr>
      <vt:lpstr>10개년_예상</vt:lpstr>
      <vt:lpstr>목표이익률_지표</vt:lpstr>
      <vt:lpstr>CVP_손익분기</vt:lpstr>
      <vt:lpstr>인건비_부가가치</vt:lpstr>
      <vt:lpstr>운임_화물_선박</vt:lpstr>
      <vt:lpstr>출처_한계</vt:lpstr>
      <vt:lpstr>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1</cp:revision>
  <dcterms:created xsi:type="dcterms:W3CDTF">2026-09-30T00:26:11Z</dcterms:created>
  <dcterms:modified xsi:type="dcterms:W3CDTF">2026-09-30T01:07:49Z</dcterms:modified>
  <dc:language>en-US</dc:language>
</cp:coreProperties>
</file>