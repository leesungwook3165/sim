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500" firstSheet="0" activeTab="1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설정값" sheetId="2" state="visible" r:id="rId2"/>
    <sheet xmlns:r="http://schemas.openxmlformats.org/officeDocument/2006/relationships" name="손익계산서_원본" sheetId="3" state="visible" r:id="rId3"/>
    <sheet xmlns:r="http://schemas.openxmlformats.org/officeDocument/2006/relationships" name="주석_보조자료" sheetId="4" state="visible" r:id="rId4"/>
    <sheet xmlns:r="http://schemas.openxmlformats.org/officeDocument/2006/relationships" name="원가구조_기준" sheetId="5" state="visible" r:id="rId5"/>
    <sheet xmlns:r="http://schemas.openxmlformats.org/officeDocument/2006/relationships" name="대조선박_손익" sheetId="6" state="visible" r:id="rId6"/>
    <sheet xmlns:r="http://schemas.openxmlformats.org/officeDocument/2006/relationships" name="차입금_상환" sheetId="7" state="visible" r:id="rId7"/>
    <sheet xmlns:r="http://schemas.openxmlformats.org/officeDocument/2006/relationships" name="10개년_예상" sheetId="8" state="visible" r:id="rId8"/>
    <sheet xmlns:r="http://schemas.openxmlformats.org/officeDocument/2006/relationships" name="목표이익률_지표" sheetId="9" state="visible" r:id="rId9"/>
    <sheet xmlns:r="http://schemas.openxmlformats.org/officeDocument/2006/relationships" name="CVP_손익분기" sheetId="10" state="visible" r:id="rId10"/>
    <sheet xmlns:r="http://schemas.openxmlformats.org/officeDocument/2006/relationships" name="인건비_부가가치" sheetId="11" state="visible" r:id="rId11"/>
    <sheet xmlns:r="http://schemas.openxmlformats.org/officeDocument/2006/relationships" name="운임_화물_선박" sheetId="12" state="visible" r:id="rId12"/>
    <sheet xmlns:r="http://schemas.openxmlformats.org/officeDocument/2006/relationships" name="출처_한계" sheetId="13" state="visible" r:id="rId13"/>
    <sheet xmlns:r="http://schemas.openxmlformats.org/officeDocument/2006/relationships" name="검산" sheetId="14" state="visible" r:id="rId14"/>
    <sheet xmlns:r="http://schemas.openxmlformats.org/officeDocument/2006/relationships" name="당사기준_1인당단가" sheetId="15" state="visible" r:id="rId15"/>
    <sheet xmlns:r="http://schemas.openxmlformats.org/officeDocument/2006/relationships" name="하마유_S5_양사대리점" sheetId="16" state="visible" r:id="rId16"/>
    <sheet xmlns:r="http://schemas.openxmlformats.org/officeDocument/2006/relationships" name="변경요약_2026-10" sheetId="17" state="visible" r:id="rId17"/>
  </sheets>
  <definedNames/>
  <calcPr calcId="191029" fullCalcOnLoad="1"/>
</workbook>
</file>

<file path=xl/styles.xml><?xml version="1.0" encoding="utf-8"?>
<styleSheet xmlns="http://schemas.openxmlformats.org/spreadsheetml/2006/main">
  <numFmts count="15">
    <numFmt numFmtId="164" formatCode="#,##0_);[Red]\(#,##0\);\-_)"/>
    <numFmt numFmtId="165" formatCode="0.0%"/>
    <numFmt numFmtId="166" formatCode="\+#,##0;[Red]\-#,##0;0"/>
    <numFmt numFmtId="167" formatCode="0.0"/>
    <numFmt numFmtId="168" formatCode="0.00&quot;배&quot;"/>
    <numFmt numFmtId="169" formatCode="0.0000"/>
    <numFmt numFmtId="170" formatCode="0.000"/>
    <numFmt numFmtId="171" formatCode="0&quot;년차&quot;"/>
    <numFmt numFmtId="172" formatCode="&quot;y+&quot;0"/>
    <numFmt numFmtId="173" formatCode="0%&quot; 손익분기&quot;"/>
    <numFmt numFmtId="174" formatCode="0%&quot; 설정 목표&quot;"/>
    <numFmt numFmtId="175" formatCode="0.0#"/>
    <numFmt numFmtId="176" formatCode="&quot;Case &quot;0"/>
    <numFmt numFmtId="177" formatCode="#,##0;;\-"/>
    <numFmt numFmtId="178" formatCode="#,##0&quot;명&quot;"/>
  </numFmts>
  <fonts count="31">
    <font>
      <name val="Calibri"/>
      <charset val="1"/>
      <family val="2"/>
      <color theme="1"/>
      <sz val="11"/>
    </font>
    <font>
      <name val="Noto Sans CJK SC"/>
      <family val="2"/>
      <b val="1"/>
      <sz val="16"/>
    </font>
    <font>
      <name val="Noto Sans CJK SC"/>
      <family val="2"/>
      <sz val="10"/>
    </font>
    <font>
      <name val="맑은 고딕"/>
      <charset val="129"/>
      <family val="3"/>
      <sz val="10"/>
    </font>
    <font>
      <name val="Noto Sans CJK SC"/>
      <family val="2"/>
      <b val="1"/>
      <sz val="10"/>
    </font>
    <font>
      <name val="맑은 고딕"/>
      <charset val="129"/>
      <family val="3"/>
      <b val="1"/>
      <sz val="10"/>
    </font>
    <font>
      <name val="Noto Sans CJK SC"/>
      <family val="2"/>
      <color rgb="FF0000FF"/>
      <sz val="10"/>
      <u val="single"/>
    </font>
    <font>
      <name val="맑은 고딕"/>
      <charset val="129"/>
      <family val="3"/>
      <color rgb="FF0000FF"/>
      <sz val="10"/>
      <u val="single"/>
    </font>
    <font>
      <name val="맑은 고딕"/>
      <charset val="129"/>
      <family val="3"/>
      <b val="1"/>
      <sz val="16"/>
    </font>
    <font>
      <name val="맑은 고딕"/>
      <charset val="129"/>
      <family val="3"/>
      <b val="1"/>
      <sz val="11"/>
    </font>
    <font>
      <name val="Noto Sans CJK SC"/>
      <family val="2"/>
      <b val="1"/>
      <sz val="11"/>
    </font>
    <font>
      <name val="Noto Sans CJK SC"/>
      <family val="2"/>
      <b val="1"/>
      <color rgb="FFFF0000"/>
      <sz val="10"/>
    </font>
    <font>
      <name val="맑은 고딕"/>
      <charset val="129"/>
      <family val="3"/>
      <b val="1"/>
      <color rgb="FFFF0000"/>
      <sz val="10"/>
    </font>
    <font>
      <name val="돋움"/>
      <charset val="129"/>
      <family val="3"/>
      <sz val="8"/>
    </font>
    <font>
      <name val="Arial"/>
      <family val="2"/>
      <b val="1"/>
      <sz val="11"/>
    </font>
    <font>
      <name val="맑은 고딕"/>
      <charset val="129"/>
      <family val="2"/>
      <b val="1"/>
      <sz val="11"/>
    </font>
    <font>
      <name val="맑은 고딕"/>
      <b val="1"/>
      <color rgb="00FFFFFF"/>
      <sz val="14"/>
    </font>
    <font>
      <name val="맑은 고딕"/>
      <color rgb="005C6B7F"/>
      <sz val="9"/>
    </font>
    <font>
      <name val="맑은 고딕"/>
      <b val="1"/>
      <color rgb="00154B8C"/>
      <sz val="11"/>
    </font>
    <font>
      <name val="맑은 고딕"/>
      <b val="1"/>
      <color rgb="00FFFFFF"/>
      <sz val="11"/>
    </font>
    <font>
      <name val="맑은 고딕"/>
      <color rgb="0017202B"/>
      <sz val="10"/>
    </font>
    <font>
      <name val="맑은 고딕"/>
      <b val="1"/>
      <color rgb="00154B8C"/>
      <sz val="10"/>
    </font>
    <font>
      <name val="맑은 고딕"/>
      <b val="1"/>
      <color rgb="0017202B"/>
      <sz val="10"/>
    </font>
    <font>
      <name val="맑은 고딕"/>
      <color rgb="00154B8C"/>
      <sz val="10"/>
    </font>
    <font>
      <name val="맑은 고딕"/>
      <color rgb="0033415A"/>
      <sz val="10"/>
    </font>
    <font>
      <name val="Noto Sans CJK SC"/>
      <b val="1"/>
      <sz val="16"/>
    </font>
    <font>
      <name val="Noto Sans CJK SC"/>
      <sz val="10"/>
    </font>
    <font>
      <name val="맑은 고딕"/>
      <b val="1"/>
      <sz val="11"/>
    </font>
    <font>
      <name val="Noto Sans CJK SC"/>
      <b val="1"/>
      <sz val="10"/>
    </font>
    <font>
      <name val="맑은 고딕"/>
      <sz val="10"/>
    </font>
    <font>
      <name val="맑은 고딕"/>
      <b val="1"/>
      <sz val="10"/>
    </font>
  </fonts>
  <fills count="15">
    <fill>
      <patternFill/>
    </fill>
    <fill>
      <patternFill patternType="gray125"/>
    </fill>
    <fill>
      <patternFill patternType="solid">
        <fgColor rgb="FFD9D9D9"/>
        <bgColor rgb="FFFCE4D6"/>
      </patternFill>
    </fill>
    <fill>
      <patternFill patternType="solid">
        <fgColor rgb="FFFFFFCC"/>
        <bgColor rgb="FFFFFF99"/>
      </patternFill>
    </fill>
    <fill>
      <patternFill patternType="solid">
        <fgColor rgb="FFFCE4D6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000E3767"/>
      </patternFill>
    </fill>
    <fill>
      <patternFill patternType="solid">
        <fgColor rgb="00EDF1F7"/>
      </patternFill>
    </fill>
    <fill>
      <patternFill patternType="solid">
        <fgColor rgb="00154B8C"/>
      </patternFill>
    </fill>
    <fill>
      <patternFill patternType="solid">
        <fgColor rgb="00E8F1F9"/>
      </patternFill>
    </fill>
    <fill>
      <patternFill patternType="solid">
        <fgColor rgb="00FAFCFE"/>
      </patternFill>
    </fill>
    <fill>
      <patternFill patternType="solid">
        <fgColor rgb="00FAFBFD"/>
      </patternFill>
    </fill>
    <fill>
      <patternFill patternType="solid">
        <fgColor rgb="FFD9D9D9"/>
      </patternFill>
    </fill>
    <fill>
      <patternFill patternType="solid">
        <fgColor rgb="FFFFFFCC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00D7DFE9"/>
      </left>
      <right style="thin">
        <color rgb="00D7DFE9"/>
      </right>
      <top style="thin">
        <color rgb="00D7DFE9"/>
      </top>
      <bottom style="thin">
        <color rgb="00D7DFE9"/>
      </bottom>
    </border>
    <border>
      <left/>
      <right/>
      <top style="thin">
        <color rgb="00D7DFE9"/>
      </top>
      <bottom/>
      <diagonal/>
    </border>
    <border>
      <left/>
      <right style="thin">
        <color rgb="00D7DFE9"/>
      </right>
      <top style="thin">
        <color rgb="00D7DFE9"/>
      </top>
      <bottom/>
      <diagonal/>
    </border>
    <border>
      <left/>
      <right/>
      <top style="thin">
        <color rgb="00D7DFE9"/>
      </top>
      <bottom style="thin">
        <color rgb="00D7DFE9"/>
      </bottom>
      <diagonal/>
    </border>
    <border>
      <left/>
      <right style="thin">
        <color rgb="00D7DFE9"/>
      </right>
      <top style="thin">
        <color rgb="00D7DFE9"/>
      </top>
      <bottom style="thin">
        <color rgb="00D7DFE9"/>
      </bottom>
      <diagonal/>
    </border>
  </borders>
  <cellStyleXfs count="1">
    <xf numFmtId="0" fontId="0" fillId="0" borderId="0"/>
  </cellStyleXfs>
  <cellXfs count="194"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3" borderId="1" pivotButton="0" quotePrefix="0" xfId="0"/>
    <xf numFmtId="164" fontId="5" fillId="3" borderId="1" applyAlignment="1" pivotButton="0" quotePrefix="0" xfId="0">
      <alignment horizontal="right"/>
    </xf>
    <xf numFmtId="165" fontId="5" fillId="3" borderId="1" applyAlignment="1" pivotButton="0" quotePrefix="0" xfId="0">
      <alignment horizontal="right"/>
    </xf>
    <xf numFmtId="0" fontId="5" fillId="3" borderId="1" pivotButton="0" quotePrefix="0" xfId="0"/>
    <xf numFmtId="10" fontId="5" fillId="3" borderId="1" applyAlignment="1" pivotButton="0" quotePrefix="0" xfId="0">
      <alignment horizontal="right"/>
    </xf>
    <xf numFmtId="0" fontId="3" fillId="0" borderId="1" pivotButton="0" quotePrefix="0" xfId="0"/>
    <xf numFmtId="164" fontId="3" fillId="0" borderId="1" applyAlignment="1" pivotButton="0" quotePrefix="0" xfId="0">
      <alignment horizontal="right"/>
    </xf>
    <xf numFmtId="0" fontId="2" fillId="0" borderId="1" pivotButton="0" quotePrefix="0" xfId="0"/>
    <xf numFmtId="3" fontId="5" fillId="3" borderId="1" applyAlignment="1" pivotButton="0" quotePrefix="0" xfId="0">
      <alignment horizontal="right"/>
    </xf>
    <xf numFmtId="3" fontId="3" fillId="0" borderId="1" applyAlignment="1" pivotButton="0" quotePrefix="0" xfId="0">
      <alignment horizontal="right"/>
    </xf>
    <xf numFmtId="166" fontId="3" fillId="0" borderId="1" applyAlignment="1" pivotButton="0" quotePrefix="0" xfId="0">
      <alignment horizontal="right"/>
    </xf>
    <xf numFmtId="165" fontId="3" fillId="0" borderId="1" applyAlignment="1" pivotButton="0" quotePrefix="0" xfId="0">
      <alignment horizontal="right"/>
    </xf>
    <xf numFmtId="2" fontId="5" fillId="3" borderId="1" applyAlignment="1" pivotButton="0" quotePrefix="0" xfId="0">
      <alignment horizontal="right"/>
    </xf>
    <xf numFmtId="0" fontId="5" fillId="3" borderId="1" applyAlignment="1" pivotButton="0" quotePrefix="0" xfId="0">
      <alignment horizontal="right"/>
    </xf>
    <xf numFmtId="0" fontId="4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0" borderId="0" pivotButton="0" quotePrefix="0" xfId="0"/>
    <xf numFmtId="0" fontId="2" fillId="4" borderId="1" pivotButton="0" quotePrefix="0" xfId="0"/>
    <xf numFmtId="0" fontId="2" fillId="5" borderId="1" pivotButton="0" quotePrefix="0" xfId="0"/>
    <xf numFmtId="0" fontId="9" fillId="0" borderId="0" pivotButton="0" quotePrefix="0" xfId="0"/>
    <xf numFmtId="10" fontId="3" fillId="4" borderId="1" pivotButton="0" quotePrefix="0" xfId="0"/>
    <xf numFmtId="0" fontId="3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3" fontId="3" fillId="5" borderId="1" pivotButton="0" quotePrefix="0" xfId="0"/>
    <xf numFmtId="167" fontId="3" fillId="5" borderId="1" pivotButton="0" quotePrefix="0" xfId="0"/>
    <xf numFmtId="2" fontId="3" fillId="5" borderId="1" pivotButton="0" quotePrefix="0" xfId="0"/>
    <xf numFmtId="0" fontId="3" fillId="5" borderId="1" pivotButton="0" quotePrefix="0" xfId="0"/>
    <xf numFmtId="0" fontId="2" fillId="3" borderId="1" applyAlignment="1" pivotButton="0" quotePrefix="0" xfId="0">
      <alignment horizontal="center" vertical="center"/>
    </xf>
    <xf numFmtId="164" fontId="5" fillId="3" borderId="1" pivotButton="0" quotePrefix="0" xfId="0"/>
    <xf numFmtId="0" fontId="3" fillId="3" borderId="1" pivotButton="0" quotePrefix="0" xfId="0"/>
    <xf numFmtId="165" fontId="3" fillId="3" borderId="1" pivotButton="0" quotePrefix="0" xfId="0"/>
    <xf numFmtId="164" fontId="3" fillId="3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indent="2"/>
    </xf>
    <xf numFmtId="164" fontId="3" fillId="0" borderId="1" pivotButton="0" quotePrefix="0" xfId="0"/>
    <xf numFmtId="165" fontId="3" fillId="0" borderId="1" pivotButton="0" quotePrefix="0" xfId="0"/>
    <xf numFmtId="0" fontId="2" fillId="0" borderId="1" applyAlignment="1" pivotButton="0" quotePrefix="0" xfId="0">
      <alignment indent="4"/>
    </xf>
    <xf numFmtId="0" fontId="3" fillId="0" borderId="1" applyAlignment="1" pivotButton="0" quotePrefix="0" xfId="0">
      <alignment indent="6"/>
    </xf>
    <xf numFmtId="0" fontId="3" fillId="0" borderId="1" applyAlignment="1" pivotButton="0" quotePrefix="0" xfId="0">
      <alignment indent="2"/>
    </xf>
    <xf numFmtId="0" fontId="2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indent="2"/>
    </xf>
    <xf numFmtId="164" fontId="5" fillId="5" borderId="1" pivotButton="0" quotePrefix="0" xfId="0"/>
    <xf numFmtId="165" fontId="3" fillId="5" borderId="1" pivotButton="0" quotePrefix="0" xfId="0"/>
    <xf numFmtId="164" fontId="3" fillId="5" borderId="1" pivotButton="0" quotePrefix="0" xfId="0"/>
    <xf numFmtId="0" fontId="4" fillId="5" borderId="1" applyAlignment="1" pivotButton="0" quotePrefix="0" xfId="0">
      <alignment indent="2"/>
    </xf>
    <xf numFmtId="0" fontId="4" fillId="0" borderId="1" pivotButton="0" quotePrefix="0" xfId="0"/>
    <xf numFmtId="164" fontId="5" fillId="0" borderId="1" pivotButton="0" quotePrefix="0" xfId="0"/>
    <xf numFmtId="0" fontId="11" fillId="0" borderId="1" pivotButton="0" quotePrefix="0" xfId="0"/>
    <xf numFmtId="164" fontId="12" fillId="0" borderId="1" pivotButton="0" quotePrefix="0" xfId="0"/>
    <xf numFmtId="0" fontId="5" fillId="0" borderId="1" pivotButton="0" quotePrefix="0" xfId="0"/>
    <xf numFmtId="3" fontId="3" fillId="0" borderId="1" pivotButton="0" quotePrefix="0" xfId="0"/>
    <xf numFmtId="168" fontId="3" fillId="0" borderId="1" pivotButton="0" quotePrefix="0" xfId="0"/>
    <xf numFmtId="169" fontId="3" fillId="0" borderId="1" pivotButton="0" quotePrefix="0" xfId="0"/>
    <xf numFmtId="0" fontId="4" fillId="5" borderId="1" pivotButton="0" quotePrefix="0" xfId="0"/>
    <xf numFmtId="3" fontId="5" fillId="0" borderId="1" pivotButton="0" quotePrefix="0" xfId="0"/>
    <xf numFmtId="10" fontId="3" fillId="0" borderId="1" pivotButton="0" quotePrefix="0" xfId="0"/>
    <xf numFmtId="10" fontId="5" fillId="3" borderId="1" pivotButton="0" quotePrefix="0" xfId="0"/>
    <xf numFmtId="0" fontId="3" fillId="0" borderId="1" applyAlignment="1" pivotButton="0" quotePrefix="0" xfId="0">
      <alignment horizontal="center" vertical="center"/>
    </xf>
    <xf numFmtId="165" fontId="5" fillId="3" borderId="1" pivotButton="0" quotePrefix="0" xfId="0"/>
    <xf numFmtId="169" fontId="5" fillId="0" borderId="1" pivotButton="0" quotePrefix="0" xfId="0"/>
    <xf numFmtId="170" fontId="3" fillId="0" borderId="1" pivotButton="0" quotePrefix="0" xfId="0"/>
    <xf numFmtId="4" fontId="3" fillId="0" borderId="1" pivotButton="0" quotePrefix="0" xfId="0"/>
    <xf numFmtId="3" fontId="5" fillId="5" borderId="1" pivotButton="0" quotePrefix="0" xfId="0"/>
    <xf numFmtId="0" fontId="3" fillId="0" borderId="1" applyAlignment="1" pivotButton="0" quotePrefix="0" xfId="0">
      <alignment indent="4"/>
    </xf>
    <xf numFmtId="0" fontId="5" fillId="5" borderId="1" pivotButton="0" quotePrefix="0" xfId="0"/>
    <xf numFmtId="165" fontId="5" fillId="0" borderId="1" pivotButton="0" quotePrefix="0" xfId="0"/>
    <xf numFmtId="2" fontId="5" fillId="5" borderId="1" pivotButton="0" quotePrefix="0" xfId="0"/>
    <xf numFmtId="0" fontId="5" fillId="2" borderId="1" applyAlignment="1" pivotButton="0" quotePrefix="0" xfId="0">
      <alignment horizontal="center" vertical="center" wrapText="1"/>
    </xf>
    <xf numFmtId="171" fontId="3" fillId="0" borderId="1" applyAlignment="1" pivotButton="0" quotePrefix="0" xfId="0">
      <alignment horizontal="center" vertical="center"/>
    </xf>
    <xf numFmtId="0" fontId="8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wrapText="1"/>
    </xf>
    <xf numFmtId="0" fontId="4" fillId="2" borderId="1" pivotButton="0" quotePrefix="0" xfId="0"/>
    <xf numFmtId="172" fontId="3" fillId="0" borderId="1" applyAlignment="1" pivotButton="0" quotePrefix="0" xfId="0">
      <alignment horizontal="center" vertical="center"/>
    </xf>
    <xf numFmtId="10" fontId="3" fillId="3" borderId="1" pivotButton="0" quotePrefix="0" xfId="0"/>
    <xf numFmtId="10" fontId="3" fillId="5" borderId="1" pivotButton="0" quotePrefix="0" xfId="0"/>
    <xf numFmtId="173" fontId="3" fillId="0" borderId="1" pivotButton="0" quotePrefix="0" xfId="0"/>
    <xf numFmtId="166" fontId="3" fillId="0" borderId="1" pivotButton="0" quotePrefix="0" xfId="0"/>
    <xf numFmtId="9" fontId="3" fillId="0" borderId="1" pivotButton="0" quotePrefix="0" xfId="0"/>
    <xf numFmtId="174" fontId="5" fillId="5" borderId="1" pivotButton="0" quotePrefix="0" xfId="0"/>
    <xf numFmtId="166" fontId="3" fillId="5" borderId="1" pivotButton="0" quotePrefix="0" xfId="0"/>
    <xf numFmtId="165" fontId="12" fillId="0" borderId="1" pivotButton="0" quotePrefix="0" xfId="0"/>
    <xf numFmtId="10" fontId="3" fillId="0" borderId="1" applyAlignment="1" pivotButton="0" quotePrefix="0" xfId="0">
      <alignment horizontal="center" vertical="center"/>
    </xf>
    <xf numFmtId="10" fontId="5" fillId="0" borderId="1" pivotButton="0" quotePrefix="0" xfId="0"/>
    <xf numFmtId="164" fontId="2" fillId="0" borderId="1" pivotButton="0" quotePrefix="0" xfId="0"/>
    <xf numFmtId="164" fontId="2" fillId="0" borderId="1" applyAlignment="1" pivotButton="0" quotePrefix="0" xfId="0">
      <alignment horizontal="center" vertical="center"/>
    </xf>
    <xf numFmtId="169" fontId="3" fillId="3" borderId="1" pivotButton="0" quotePrefix="0" xfId="0"/>
    <xf numFmtId="175" fontId="3" fillId="0" borderId="1" pivotButton="0" quotePrefix="0" xfId="0"/>
    <xf numFmtId="176" fontId="3" fillId="0" borderId="1" applyAlignment="1" pivotButton="0" quotePrefix="0" xfId="0">
      <alignment horizontal="center" vertical="center"/>
    </xf>
    <xf numFmtId="177" fontId="3" fillId="0" borderId="1" pivotButton="0" quotePrefix="0" xfId="0"/>
    <xf numFmtId="0" fontId="5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0" fillId="0" borderId="1" pivotButton="0" quotePrefix="0" xfId="0"/>
    <xf numFmtId="0" fontId="2" fillId="0" borderId="2" pivotButton="0" quotePrefix="0" xfId="0"/>
    <xf numFmtId="178" fontId="3" fillId="0" borderId="2" pivotButton="0" quotePrefix="0" xfId="0"/>
    <xf numFmtId="3" fontId="3" fillId="4" borderId="1" applyAlignment="1" pivotButton="0" quotePrefix="0" xfId="0">
      <alignment horizontal="right"/>
    </xf>
    <xf numFmtId="164" fontId="3" fillId="4" borderId="1" applyAlignment="1" pivotButton="0" quotePrefix="0" xfId="0">
      <alignment horizontal="right"/>
    </xf>
    <xf numFmtId="165" fontId="3" fillId="4" borderId="1" applyAlignment="1" pivotButton="0" quotePrefix="0" xfId="0">
      <alignment horizontal="right"/>
    </xf>
    <xf numFmtId="0" fontId="3" fillId="4" borderId="1" applyAlignment="1" pivotButton="0" quotePrefix="0" xfId="0">
      <alignment horizontal="right"/>
    </xf>
    <xf numFmtId="0" fontId="4" fillId="2" borderId="1" applyAlignment="1" pivotButton="0" quotePrefix="0" xfId="0">
      <alignment horizontal="right" vertical="center" wrapText="1"/>
    </xf>
    <xf numFmtId="0" fontId="2" fillId="4" borderId="1" applyAlignment="1" pivotButton="0" quotePrefix="0" xfId="0">
      <alignment horizontal="right"/>
    </xf>
    <xf numFmtId="4" fontId="3" fillId="4" borderId="1" applyAlignment="1" pivotButton="0" quotePrefix="0" xfId="0">
      <alignment horizontal="right"/>
    </xf>
    <xf numFmtId="1" fontId="3" fillId="4" borderId="1" applyAlignment="1" pivotButton="0" quotePrefix="0" xfId="0">
      <alignment horizontal="right"/>
    </xf>
    <xf numFmtId="0" fontId="4" fillId="3" borderId="2" pivotButton="0" quotePrefix="0" xfId="0"/>
    <xf numFmtId="164" fontId="5" fillId="3" borderId="2" pivotButton="0" quotePrefix="0" xfId="0"/>
    <xf numFmtId="165" fontId="5" fillId="3" borderId="2" pivotButton="0" quotePrefix="0" xfId="0"/>
    <xf numFmtId="0" fontId="4" fillId="2" borderId="3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/>
    </xf>
    <xf numFmtId="164" fontId="3" fillId="0" borderId="3" pivotButton="0" quotePrefix="0" xfId="0"/>
    <xf numFmtId="164" fontId="5" fillId="3" borderId="3" pivotButton="0" quotePrefix="0" xfId="0"/>
    <xf numFmtId="164" fontId="5" fillId="5" borderId="3" pivotButton="0" quotePrefix="0" xfId="0"/>
    <xf numFmtId="165" fontId="5" fillId="0" borderId="3" pivotButton="0" quotePrefix="0" xfId="0"/>
    <xf numFmtId="0" fontId="4" fillId="2" borderId="1" applyAlignment="1" pivotButton="0" quotePrefix="0" xfId="0">
      <alignment horizontal="center" vertical="center" wrapText="1"/>
    </xf>
    <xf numFmtId="164" fontId="5" fillId="3" borderId="1" applyAlignment="1" pivotButton="0" quotePrefix="0" xfId="0">
      <alignment horizontal="right"/>
    </xf>
    <xf numFmtId="165" fontId="5" fillId="3" borderId="1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166" fontId="3" fillId="0" borderId="1" applyAlignment="1" pivotButton="0" quotePrefix="0" xfId="0">
      <alignment horizontal="right"/>
    </xf>
    <xf numFmtId="165" fontId="3" fillId="0" borderId="1" applyAlignment="1" pivotButton="0" quotePrefix="0" xfId="0">
      <alignment horizontal="right"/>
    </xf>
    <xf numFmtId="164" fontId="3" fillId="4" borderId="1" applyAlignment="1" pivotButton="0" quotePrefix="0" xfId="0">
      <alignment horizontal="right"/>
    </xf>
    <xf numFmtId="165" fontId="3" fillId="4" borderId="1" applyAlignment="1" pivotButton="0" quotePrefix="0" xfId="0">
      <alignment horizontal="right"/>
    </xf>
    <xf numFmtId="167" fontId="3" fillId="5" borderId="1" pivotButton="0" quotePrefix="0" xfId="0"/>
    <xf numFmtId="164" fontId="5" fillId="3" borderId="1" pivotButton="0" quotePrefix="0" xfId="0"/>
    <xf numFmtId="165" fontId="3" fillId="3" borderId="1" pivotButton="0" quotePrefix="0" xfId="0"/>
    <xf numFmtId="164" fontId="3" fillId="3" borderId="1" pivotButton="0" quotePrefix="0" xfId="0"/>
    <xf numFmtId="164" fontId="3" fillId="0" borderId="1" pivotButton="0" quotePrefix="0" xfId="0"/>
    <xf numFmtId="165" fontId="3" fillId="0" borderId="1" pivotButton="0" quotePrefix="0" xfId="0"/>
    <xf numFmtId="164" fontId="5" fillId="5" borderId="1" pivotButton="0" quotePrefix="0" xfId="0"/>
    <xf numFmtId="165" fontId="3" fillId="5" borderId="1" pivotButton="0" quotePrefix="0" xfId="0"/>
    <xf numFmtId="164" fontId="3" fillId="5" borderId="1" pivotButton="0" quotePrefix="0" xfId="0"/>
    <xf numFmtId="164" fontId="5" fillId="0" borderId="1" pivotButton="0" quotePrefix="0" xfId="0"/>
    <xf numFmtId="164" fontId="12" fillId="0" borderId="1" pivotButton="0" quotePrefix="0" xfId="0"/>
    <xf numFmtId="168" fontId="3" fillId="0" borderId="1" pivotButton="0" quotePrefix="0" xfId="0"/>
    <xf numFmtId="169" fontId="3" fillId="0" borderId="1" pivotButton="0" quotePrefix="0" xfId="0"/>
    <xf numFmtId="164" fontId="5" fillId="3" borderId="2" pivotButton="0" quotePrefix="0" xfId="0"/>
    <xf numFmtId="165" fontId="5" fillId="3" borderId="2" pivotButton="0" quotePrefix="0" xfId="0"/>
    <xf numFmtId="169" fontId="5" fillId="0" borderId="1" pivotButton="0" quotePrefix="0" xfId="0"/>
    <xf numFmtId="170" fontId="3" fillId="0" borderId="1" pivotButton="0" quotePrefix="0" xfId="0"/>
    <xf numFmtId="165" fontId="5" fillId="0" borderId="1" pivotButton="0" quotePrefix="0" xfId="0"/>
    <xf numFmtId="171" fontId="3" fillId="0" borderId="1" applyAlignment="1" pivotButton="0" quotePrefix="0" xfId="0">
      <alignment horizontal="center" vertical="center"/>
    </xf>
    <xf numFmtId="172" fontId="3" fillId="0" borderId="1" applyAlignment="1" pivotButton="0" quotePrefix="0" xfId="0">
      <alignment horizontal="center" vertical="center"/>
    </xf>
    <xf numFmtId="164" fontId="5" fillId="3" borderId="3" pivotButton="0" quotePrefix="0" xfId="0"/>
    <xf numFmtId="164" fontId="3" fillId="0" borderId="3" pivotButton="0" quotePrefix="0" xfId="0"/>
    <xf numFmtId="164" fontId="5" fillId="5" borderId="3" pivotButton="0" quotePrefix="0" xfId="0"/>
    <xf numFmtId="165" fontId="5" fillId="0" borderId="3" pivotButton="0" quotePrefix="0" xfId="0"/>
    <xf numFmtId="0" fontId="0" fillId="0" borderId="6" pivotButton="0" quotePrefix="0" xfId="0"/>
    <xf numFmtId="0" fontId="0" fillId="0" borderId="7" pivotButton="0" quotePrefix="0" xfId="0"/>
    <xf numFmtId="173" fontId="3" fillId="0" borderId="1" pivotButton="0" quotePrefix="0" xfId="0"/>
    <xf numFmtId="166" fontId="3" fillId="0" borderId="1" pivotButton="0" quotePrefix="0" xfId="0"/>
    <xf numFmtId="174" fontId="5" fillId="5" borderId="1" pivotButton="0" quotePrefix="0" xfId="0"/>
    <xf numFmtId="166" fontId="3" fillId="5" borderId="1" pivotButton="0" quotePrefix="0" xfId="0"/>
    <xf numFmtId="165" fontId="12" fillId="0" borderId="1" pivotButton="0" quotePrefix="0" xfId="0"/>
    <xf numFmtId="165" fontId="5" fillId="3" borderId="1" pivotButton="0" quotePrefix="0" xfId="0"/>
    <xf numFmtId="178" fontId="3" fillId="0" borderId="2" pivotButton="0" quotePrefix="0" xfId="0"/>
    <xf numFmtId="164" fontId="2" fillId="0" borderId="1" pivotButton="0" quotePrefix="0" xfId="0"/>
    <xf numFmtId="164" fontId="2" fillId="0" borderId="1" applyAlignment="1" pivotButton="0" quotePrefix="0" xfId="0">
      <alignment horizontal="center" vertical="center"/>
    </xf>
    <xf numFmtId="169" fontId="3" fillId="3" borderId="1" pivotButton="0" quotePrefix="0" xfId="0"/>
    <xf numFmtId="175" fontId="3" fillId="0" borderId="1" pivotButton="0" quotePrefix="0" xfId="0"/>
    <xf numFmtId="176" fontId="3" fillId="0" borderId="1" applyAlignment="1" pivotButton="0" quotePrefix="0" xfId="0">
      <alignment horizontal="center" vertical="center"/>
    </xf>
    <xf numFmtId="177" fontId="3" fillId="0" borderId="1" pivotButton="0" quotePrefix="0" xfId="0"/>
    <xf numFmtId="0" fontId="16" fillId="7" borderId="0" applyAlignment="1" pivotButton="0" quotePrefix="0" xfId="0">
      <alignment horizontal="left" vertical="center"/>
    </xf>
    <xf numFmtId="0" fontId="17" fillId="0" borderId="8" applyAlignment="1" pivotButton="0" quotePrefix="0" xfId="0">
      <alignment horizontal="left" vertical="center"/>
    </xf>
    <xf numFmtId="0" fontId="18" fillId="8" borderId="8" applyAlignment="1" pivotButton="0" quotePrefix="0" xfId="0">
      <alignment horizontal="left" vertical="center"/>
    </xf>
    <xf numFmtId="0" fontId="19" fillId="9" borderId="8" applyAlignment="1" pivotButton="0" quotePrefix="0" xfId="0">
      <alignment horizontal="center" vertical="center" wrapText="1"/>
    </xf>
    <xf numFmtId="0" fontId="20" fillId="0" borderId="8" applyAlignment="1" pivotButton="0" quotePrefix="0" xfId="0">
      <alignment horizontal="left" vertical="center"/>
    </xf>
    <xf numFmtId="3" fontId="20" fillId="0" borderId="8" applyAlignment="1" pivotButton="0" quotePrefix="0" xfId="0">
      <alignment horizontal="right" vertical="center"/>
    </xf>
    <xf numFmtId="0" fontId="17" fillId="0" borderId="8" applyAlignment="1" pivotButton="0" quotePrefix="0" xfId="0">
      <alignment horizontal="left" vertical="center" wrapText="1"/>
    </xf>
    <xf numFmtId="0" fontId="21" fillId="10" borderId="8" applyAlignment="1" pivotButton="0" quotePrefix="0" xfId="0">
      <alignment horizontal="left" vertical="center"/>
    </xf>
    <xf numFmtId="3" fontId="21" fillId="10" borderId="8" applyAlignment="1" pivotButton="0" quotePrefix="0" xfId="0">
      <alignment horizontal="right" vertical="center"/>
    </xf>
    <xf numFmtId="0" fontId="17" fillId="11" borderId="8" applyAlignment="1" pivotButton="0" quotePrefix="0" xfId="0">
      <alignment horizontal="left" vertical="center"/>
    </xf>
    <xf numFmtId="3" fontId="17" fillId="11" borderId="8" applyAlignment="1" pivotButton="0" quotePrefix="0" xfId="0">
      <alignment horizontal="right" vertical="center"/>
    </xf>
    <xf numFmtId="0" fontId="17" fillId="12" borderId="8" applyAlignment="1" pivotButton="0" quotePrefix="0" xfId="0">
      <alignment horizontal="left" vertical="center" wrapText="1"/>
    </xf>
    <xf numFmtId="0" fontId="22" fillId="0" borderId="8" applyAlignment="1" pivotButton="0" quotePrefix="0" xfId="0">
      <alignment horizontal="left" vertical="center"/>
    </xf>
    <xf numFmtId="0" fontId="23" fillId="0" borderId="8" applyAlignment="1" pivotButton="0" quotePrefix="0" xfId="0">
      <alignment horizontal="left" vertical="center"/>
    </xf>
    <xf numFmtId="0" fontId="24" fillId="0" borderId="8" applyAlignment="1" pivotButton="0" quotePrefix="0" xfId="0">
      <alignment horizontal="left" vertical="center"/>
    </xf>
    <xf numFmtId="0" fontId="21" fillId="11" borderId="8" applyAlignment="1" pivotButton="0" quotePrefix="0" xfId="0">
      <alignment horizontal="left" vertical="center"/>
    </xf>
    <xf numFmtId="0" fontId="20" fillId="0" borderId="8" applyAlignment="1" pivotButton="0" quotePrefix="0" xfId="0">
      <alignment horizontal="left" vertical="center" wrapText="1"/>
    </xf>
    <xf numFmtId="0" fontId="25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0" fontId="28" fillId="13" borderId="0" applyAlignment="1" pivotButton="0" quotePrefix="0" xfId="0">
      <alignment horizontal="center" vertical="center" wrapText="1"/>
    </xf>
    <xf numFmtId="3" fontId="29" fillId="0" borderId="0" applyAlignment="1" pivotButton="0" quotePrefix="0" xfId="0">
      <alignment horizontal="right" vertical="center"/>
    </xf>
    <xf numFmtId="0" fontId="26" fillId="0" borderId="0" applyAlignment="1" pivotButton="0" quotePrefix="0" xfId="0">
      <alignment horizontal="left" vertical="center" wrapText="1"/>
    </xf>
    <xf numFmtId="0" fontId="28" fillId="14" borderId="0" pivotButton="0" quotePrefix="0" xfId="0"/>
    <xf numFmtId="3" fontId="30" fillId="14" borderId="0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CE4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A8392F"/>
      <rgbColor rgb="FF993366"/>
      <rgbColor rgb="FF154B8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 xml:space="preserve">A. </a:t>
            </a:r>
            <a:r>
              <a:rPr lang="ko-KR" altLang="en-US" sz="1800" b="1" strike="noStrike" spc="-1">
                <a:solidFill>
                  <a:srgbClr val="000000"/>
                </a:solidFill>
                <a:latin typeface="Calibri"/>
              </a:rPr>
              <a:t xml:space="preserve">참조 </a:t>
            </a: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CVP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CVP_손익분기!$C$11</f>
              <strCache>
                <ptCount val="1"/>
                <pt idx="0">
                  <v>매출액</v>
                </pt>
              </strCache>
            </strRef>
          </tx>
          <spPr>
            <a:ln xmlns:a="http://schemas.openxmlformats.org/drawingml/2006/main" w="28440">
              <a:solidFill>
                <a:srgbClr val="154B8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ko-K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numRef>
              <f>CVP_손익분기!$B$12:$B$32</f>
              <numCache>
                <formatCode>#,##0</formatCode>
                <ptCount val="21"/>
                <pt idx="0">
                  <v>0</v>
                </pt>
                <pt idx="1">
                  <v>12528</v>
                </pt>
                <pt idx="2">
                  <v>25055</v>
                </pt>
                <pt idx="3">
                  <v>37583</v>
                </pt>
                <pt idx="4">
                  <v>50111</v>
                </pt>
                <pt idx="5">
                  <v>62639</v>
                </pt>
                <pt idx="6">
                  <v>75166</v>
                </pt>
                <pt idx="7">
                  <v>87694</v>
                </pt>
                <pt idx="8">
                  <v>100222</v>
                </pt>
                <pt idx="9">
                  <v>112750</v>
                </pt>
                <pt idx="10">
                  <v>125277</v>
                </pt>
                <pt idx="11">
                  <v>137805</v>
                </pt>
                <pt idx="12">
                  <v>150333</v>
                </pt>
                <pt idx="13">
                  <v>162861</v>
                </pt>
                <pt idx="14">
                  <v>175388</v>
                </pt>
                <pt idx="15">
                  <v>187916</v>
                </pt>
                <pt idx="16">
                  <v>200444</v>
                </pt>
                <pt idx="17">
                  <v>212972</v>
                </pt>
                <pt idx="18">
                  <v>225499</v>
                </pt>
                <pt idx="19">
                  <v>238027</v>
                </pt>
                <pt idx="20">
                  <v>250555</v>
                </pt>
              </numCache>
            </numRef>
          </cat>
          <val>
            <numRef>
              <f>CVP_손익분기!$C$12:$C$32</f>
              <numCache>
                <formatCode>#,##0_);[Red]\(#,##0\);\-_)</formatCode>
                <ptCount val="21"/>
                <pt idx="0">
                  <v>332.642171</v>
                </pt>
                <pt idx="1">
                  <v>1447.007771</v>
                </pt>
                <pt idx="2">
                  <v>2561.284421</v>
                </pt>
                <pt idx="3">
                  <v>3675.650021</v>
                </pt>
                <pt idx="4">
                  <v>4790.015621</v>
                </pt>
                <pt idx="5">
                  <v>5904.381221</v>
                </pt>
                <pt idx="6">
                  <v>7018.657871</v>
                </pt>
                <pt idx="7">
                  <v>8133.023471</v>
                </pt>
                <pt idx="8">
                  <v>9247.389071</v>
                </pt>
                <pt idx="9">
                  <v>10361.754671</v>
                </pt>
                <pt idx="10">
                  <v>11476.031321</v>
                </pt>
                <pt idx="11">
                  <v>12590.396921</v>
                </pt>
                <pt idx="12">
                  <v>13704.762521</v>
                </pt>
                <pt idx="13">
                  <v>14819.128121</v>
                </pt>
                <pt idx="14">
                  <v>15933.404771</v>
                </pt>
                <pt idx="15">
                  <v>17047.770371</v>
                </pt>
                <pt idx="16">
                  <v>18162.135971</v>
                </pt>
                <pt idx="17">
                  <v>19276.501571</v>
                </pt>
                <pt idx="18">
                  <v>20390.778221</v>
                </pt>
                <pt idx="19">
                  <v>21505.143821</v>
                </pt>
                <pt idx="20">
                  <v>22619.509421</v>
                </pt>
              </numCache>
            </numRef>
          </val>
          <smooth val="1"/>
        </ser>
        <ser>
          <idx val="1"/>
          <order val="1"/>
          <tx>
            <strRef>
              <f>CVP_손익분기!$D$11</f>
              <strCache>
                <ptCount val="1"/>
                <pt idx="0">
                  <v>총비용</v>
                </pt>
              </strCache>
            </strRef>
          </tx>
          <spPr>
            <a:ln xmlns:a="http://schemas.openxmlformats.org/drawingml/2006/main" w="28440">
              <a:solidFill>
                <a:srgbClr val="A8392F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ko-K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numRef>
              <f>CVP_손익분기!$B$12:$B$32</f>
              <numCache>
                <formatCode>#,##0</formatCode>
                <ptCount val="21"/>
                <pt idx="0">
                  <v>0</v>
                </pt>
                <pt idx="1">
                  <v>12528</v>
                </pt>
                <pt idx="2">
                  <v>25055</v>
                </pt>
                <pt idx="3">
                  <v>37583</v>
                </pt>
                <pt idx="4">
                  <v>50111</v>
                </pt>
                <pt idx="5">
                  <v>62639</v>
                </pt>
                <pt idx="6">
                  <v>75166</v>
                </pt>
                <pt idx="7">
                  <v>87694</v>
                </pt>
                <pt idx="8">
                  <v>100222</v>
                </pt>
                <pt idx="9">
                  <v>112750</v>
                </pt>
                <pt idx="10">
                  <v>125277</v>
                </pt>
                <pt idx="11">
                  <v>137805</v>
                </pt>
                <pt idx="12">
                  <v>150333</v>
                </pt>
                <pt idx="13">
                  <v>162861</v>
                </pt>
                <pt idx="14">
                  <v>175388</v>
                </pt>
                <pt idx="15">
                  <v>187916</v>
                </pt>
                <pt idx="16">
                  <v>200444</v>
                </pt>
                <pt idx="17">
                  <v>212972</v>
                </pt>
                <pt idx="18">
                  <v>225499</v>
                </pt>
                <pt idx="19">
                  <v>238027</v>
                </pt>
                <pt idx="20">
                  <v>250555</v>
                </pt>
              </numCache>
            </numRef>
          </cat>
          <val>
            <numRef>
              <f>CVP_손익분기!$D$12:$D$32</f>
              <numCache>
                <formatCode>#,##0_);[Red]\(#,##0\);\-_)</formatCode>
                <ptCount val="21"/>
                <pt idx="0">
                  <v>14685.31106</v>
                </pt>
                <pt idx="1">
                  <v>14732.34344611554</v>
                </pt>
                <pt idx="2">
                  <v>14779.37207804956</v>
                </pt>
                <pt idx="3">
                  <v>14826.40446416509</v>
                </pt>
                <pt idx="4">
                  <v>14873.43685028063</v>
                </pt>
                <pt idx="5">
                  <v>14920.46923639617</v>
                </pt>
                <pt idx="6">
                  <v>14967.49786833019</v>
                </pt>
                <pt idx="7">
                  <v>15014.53025444572</v>
                </pt>
                <pt idx="8">
                  <v>15061.56264056126</v>
                </pt>
                <pt idx="9">
                  <v>15108.5950266768</v>
                </pt>
                <pt idx="10">
                  <v>15155.62365861082</v>
                </pt>
                <pt idx="11">
                  <v>15202.65604472635</v>
                </pt>
                <pt idx="12">
                  <v>15249.68843084189</v>
                </pt>
                <pt idx="13">
                  <v>15296.72081695743</v>
                </pt>
                <pt idx="14">
                  <v>15343.74944889145</v>
                </pt>
                <pt idx="15">
                  <v>15390.78183500698</v>
                </pt>
                <pt idx="16">
                  <v>15437.81422112252</v>
                </pt>
                <pt idx="17">
                  <v>15484.84660723806</v>
                </pt>
                <pt idx="18">
                  <v>15531.87523917208</v>
                </pt>
                <pt idx="19">
                  <v>15578.90762528761</v>
                </pt>
                <pt idx="20">
                  <v>15625.94001140315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smooth val="0"/>
        <axId val="95106502"/>
        <axId val="78358525"/>
      </lineChart>
      <catAx>
        <axId val="9510650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ko-KR" altLang="en-US" sz="1000" b="1" strike="noStrike" spc="-1">
                    <a:solidFill>
                      <a:srgbClr val="000000"/>
                    </a:solidFill>
                    <a:latin typeface="Calibri"/>
                  </a:rPr>
                  <a:t xml:space="preserve">승객수 </a:t>
                </a:r>
                <a:r>
                  <a:rPr lang="en-US" altLang="ko-KR" sz="1000" b="1" strike="noStrike" spc="-1">
                    <a:solidFill>
                      <a:srgbClr val="000000"/>
                    </a:solidFill>
                    <a:latin typeface="Calibri"/>
                  </a:rPr>
                  <a:t>(</a:t>
                </a:r>
                <a:r>
                  <a:rPr lang="ko-KR" altLang="en-US" sz="1000" b="1" strike="noStrike" spc="-1">
                    <a:solidFill>
                      <a:srgbClr val="000000"/>
                    </a:solidFill>
                    <a:latin typeface="Calibri"/>
                  </a:rPr>
                  <a:t>명</a:t>
                </a:r>
                <a:r>
                  <a:rPr lang="en-US" altLang="ko-KR" sz="1000" b="1" strike="noStrike" spc="-1">
                    <a:solidFill>
                      <a:srgbClr val="000000"/>
                    </a:solidFill>
                    <a:latin typeface="Calibri"/>
                  </a:rPr>
                  <a:t>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ko-KR"/>
          </a:p>
        </txPr>
        <crossAx val="78358525"/>
        <crosses val="autoZero"/>
        <auto val="1"/>
        <lblAlgn val="ctr"/>
        <lblOffset val="100"/>
        <noMultiLvlLbl val="0"/>
      </catAx>
      <valAx>
        <axId val="78358525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ko-KR" altLang="en-US" sz="1000" b="1" strike="noStrike" spc="-1">
                    <a:solidFill>
                      <a:srgbClr val="000000"/>
                    </a:solidFill>
                    <a:latin typeface="Calibri"/>
                  </a:rPr>
                  <a:t>백만원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_);[Red]\(#,##0\);\-_)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ko-KR"/>
          </a:p>
        </txPr>
        <crossAx val="9510650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ko-K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 xml:space="preserve">B. </a:t>
            </a:r>
            <a:r>
              <a:rPr lang="ko-KR" altLang="en-US" sz="1800" b="1" strike="noStrike" spc="-1">
                <a:solidFill>
                  <a:srgbClr val="000000"/>
                </a:solidFill>
                <a:latin typeface="Calibri"/>
              </a:rPr>
              <a:t xml:space="preserve">대조 선박 </a:t>
            </a: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CVP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CVP_손익분기!$H$11</f>
              <strCache>
                <ptCount val="1"/>
                <pt idx="0">
                  <v>매출액</v>
                </pt>
              </strCache>
            </strRef>
          </tx>
          <spPr>
            <a:ln xmlns:a="http://schemas.openxmlformats.org/drawingml/2006/main" w="28440">
              <a:solidFill>
                <a:srgbClr val="154B8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ko-K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numRef>
              <f>CVP_손익분기!$G$12:$G$32</f>
              <numCache>
                <formatCode>#,##0</formatCode>
                <ptCount val="21"/>
                <pt idx="0">
                  <v>0</v>
                </pt>
                <pt idx="1">
                  <v>11363</v>
                </pt>
                <pt idx="2">
                  <v>22725</v>
                </pt>
                <pt idx="3">
                  <v>34088</v>
                </pt>
                <pt idx="4">
                  <v>45450</v>
                </pt>
                <pt idx="5">
                  <v>56813</v>
                </pt>
                <pt idx="6">
                  <v>68175</v>
                </pt>
                <pt idx="7">
                  <v>79538</v>
                </pt>
                <pt idx="8">
                  <v>90900</v>
                </pt>
                <pt idx="9">
                  <v>102263</v>
                </pt>
                <pt idx="10">
                  <v>113625</v>
                </pt>
                <pt idx="11">
                  <v>124988</v>
                </pt>
                <pt idx="12">
                  <v>136350</v>
                </pt>
                <pt idx="13">
                  <v>147713</v>
                </pt>
                <pt idx="14">
                  <v>159075</v>
                </pt>
                <pt idx="15">
                  <v>170438</v>
                </pt>
                <pt idx="16">
                  <v>181800</v>
                </pt>
                <pt idx="17">
                  <v>193163</v>
                </pt>
                <pt idx="18">
                  <v>204525</v>
                </pt>
                <pt idx="19">
                  <v>215888</v>
                </pt>
                <pt idx="20">
                  <v>227250</v>
                </pt>
              </numCache>
            </numRef>
          </cat>
          <val>
            <numRef>
              <f>CVP_손익분기!$H$12:$H$32</f>
              <numCache>
                <formatCode>#,##0_);[Red]\(#,##0\);\-_)</formatCode>
                <ptCount val="21"/>
                <pt idx="0">
                  <v>1184.2776</v>
                </pt>
                <pt idx="1">
                  <v>2547.8376</v>
                </pt>
                <pt idx="2">
                  <v>3911.2776</v>
                </pt>
                <pt idx="3">
                  <v>5274.8376</v>
                </pt>
                <pt idx="4">
                  <v>6638.2776</v>
                </pt>
                <pt idx="5">
                  <v>8001.8376</v>
                </pt>
                <pt idx="6">
                  <v>9365.277599999999</v>
                </pt>
                <pt idx="7">
                  <v>10728.8376</v>
                </pt>
                <pt idx="8">
                  <v>12092.2776</v>
                </pt>
                <pt idx="9">
                  <v>13455.8376</v>
                </pt>
                <pt idx="10">
                  <v>14819.2776</v>
                </pt>
                <pt idx="11">
                  <v>16182.8376</v>
                </pt>
                <pt idx="12">
                  <v>17546.2776</v>
                </pt>
                <pt idx="13">
                  <v>18909.8376</v>
                </pt>
                <pt idx="14">
                  <v>20273.2776</v>
                </pt>
                <pt idx="15">
                  <v>21636.8376</v>
                </pt>
                <pt idx="16">
                  <v>23000.2776</v>
                </pt>
                <pt idx="17">
                  <v>24363.8376</v>
                </pt>
                <pt idx="18">
                  <v>25727.2776</v>
                </pt>
                <pt idx="19">
                  <v>27090.8376</v>
                </pt>
                <pt idx="20">
                  <v>28454.2776</v>
                </pt>
              </numCache>
            </numRef>
          </val>
          <smooth val="1"/>
        </ser>
        <ser>
          <idx val="1"/>
          <order val="1"/>
          <tx>
            <strRef>
              <f>CVP_손익분기!$I$11</f>
              <strCache>
                <ptCount val="1"/>
                <pt idx="0">
                  <v>총비용</v>
                </pt>
              </strCache>
            </strRef>
          </tx>
          <spPr>
            <a:ln xmlns:a="http://schemas.openxmlformats.org/drawingml/2006/main" w="28440">
              <a:solidFill>
                <a:srgbClr val="A8392F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ko-K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numRef>
              <f>CVP_손익분기!$G$12:$G$32</f>
              <numCache>
                <formatCode>#,##0</formatCode>
                <ptCount val="21"/>
                <pt idx="0">
                  <v>0</v>
                </pt>
                <pt idx="1">
                  <v>11363</v>
                </pt>
                <pt idx="2">
                  <v>22725</v>
                </pt>
                <pt idx="3">
                  <v>34088</v>
                </pt>
                <pt idx="4">
                  <v>45450</v>
                </pt>
                <pt idx="5">
                  <v>56813</v>
                </pt>
                <pt idx="6">
                  <v>68175</v>
                </pt>
                <pt idx="7">
                  <v>79538</v>
                </pt>
                <pt idx="8">
                  <v>90900</v>
                </pt>
                <pt idx="9">
                  <v>102263</v>
                </pt>
                <pt idx="10">
                  <v>113625</v>
                </pt>
                <pt idx="11">
                  <v>124988</v>
                </pt>
                <pt idx="12">
                  <v>136350</v>
                </pt>
                <pt idx="13">
                  <v>147713</v>
                </pt>
                <pt idx="14">
                  <v>159075</v>
                </pt>
                <pt idx="15">
                  <v>170438</v>
                </pt>
                <pt idx="16">
                  <v>181800</v>
                </pt>
                <pt idx="17">
                  <v>193163</v>
                </pt>
                <pt idx="18">
                  <v>204525</v>
                </pt>
                <pt idx="19">
                  <v>215888</v>
                </pt>
                <pt idx="20">
                  <v>227250</v>
                </pt>
              </numCache>
            </numRef>
          </cat>
          <val>
            <numRef>
              <f>CVP_손익분기!$I$12:$I$32</f>
              <numCache>
                <formatCode>#,##0_);[Red]\(#,##0\);\-_)</formatCode>
                <ptCount val="21"/>
                <pt idx="0">
                  <v>17109.24816185368</v>
                </pt>
                <pt idx="1">
                  <v>17151.90692649535</v>
                </pt>
                <pt idx="2">
                  <v>17194.56193695551</v>
                </pt>
                <pt idx="3">
                  <v>17237.22070159718</v>
                </pt>
                <pt idx="4">
                  <v>17279.87571205732</v>
                </pt>
                <pt idx="5">
                  <v>17322.534476699</v>
                </pt>
                <pt idx="6">
                  <v>17365.18948715915</v>
                </pt>
                <pt idx="7">
                  <v>17407.84825180082</v>
                </pt>
                <pt idx="8">
                  <v>17450.50326226097</v>
                </pt>
                <pt idx="9">
                  <v>17493.16202690264</v>
                </pt>
                <pt idx="10">
                  <v>17535.81703736278</v>
                </pt>
                <pt idx="11">
                  <v>17578.47580200446</v>
                </pt>
                <pt idx="12">
                  <v>17621.13081246461</v>
                </pt>
                <pt idx="13">
                  <v>17663.78957710628</v>
                </pt>
                <pt idx="14">
                  <v>17706.44458756643</v>
                </pt>
                <pt idx="15">
                  <v>17749.1033522081</v>
                </pt>
                <pt idx="16">
                  <v>17791.75836266825</v>
                </pt>
                <pt idx="17">
                  <v>17834.41712730992</v>
                </pt>
                <pt idx="18">
                  <v>17877.07213777007</v>
                </pt>
                <pt idx="19">
                  <v>17919.73090241174</v>
                </pt>
                <pt idx="20">
                  <v>17962.38591287189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smooth val="0"/>
        <axId val="4003242"/>
        <axId val="5277026"/>
      </lineChart>
      <catAx>
        <axId val="400324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ko-KR" altLang="en-US" sz="1000" b="1" strike="noStrike" spc="-1">
                    <a:solidFill>
                      <a:srgbClr val="000000"/>
                    </a:solidFill>
                    <a:latin typeface="Calibri"/>
                  </a:rPr>
                  <a:t xml:space="preserve">승객수 </a:t>
                </a:r>
                <a:r>
                  <a:rPr lang="en-US" altLang="ko-KR" sz="1000" b="1" strike="noStrike" spc="-1">
                    <a:solidFill>
                      <a:srgbClr val="000000"/>
                    </a:solidFill>
                    <a:latin typeface="Calibri"/>
                  </a:rPr>
                  <a:t>(</a:t>
                </a:r>
                <a:r>
                  <a:rPr lang="ko-KR" altLang="en-US" sz="1000" b="1" strike="noStrike" spc="-1">
                    <a:solidFill>
                      <a:srgbClr val="000000"/>
                    </a:solidFill>
                    <a:latin typeface="Calibri"/>
                  </a:rPr>
                  <a:t>명</a:t>
                </a:r>
                <a:r>
                  <a:rPr lang="en-US" altLang="ko-KR" sz="1000" b="1" strike="noStrike" spc="-1">
                    <a:solidFill>
                      <a:srgbClr val="000000"/>
                    </a:solidFill>
                    <a:latin typeface="Calibri"/>
                  </a:rPr>
                  <a:t>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ko-KR"/>
          </a:p>
        </txPr>
        <crossAx val="5277026"/>
        <crosses val="autoZero"/>
        <auto val="1"/>
        <lblAlgn val="ctr"/>
        <lblOffset val="100"/>
        <noMultiLvlLbl val="0"/>
      </catAx>
      <valAx>
        <axId val="5277026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ko-KR" altLang="en-US" sz="1000" b="1" strike="noStrike" spc="-1">
                    <a:solidFill>
                      <a:srgbClr val="000000"/>
                    </a:solidFill>
                    <a:latin typeface="Calibri"/>
                  </a:rPr>
                  <a:t>백만원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_);[Red]\(#,##0\);\-_)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ko-KR"/>
          </a:p>
        </txPr>
        <crossAx val="400324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ko-K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 editAs="oneCell">
    <from>
      <col>11</col>
      <colOff>1</colOff>
      <row>3</row>
      <rowOff>174384</rowOff>
    </from>
    <to>
      <col>20</col>
      <colOff>222315</colOff>
      <row>20</row>
      <rowOff>153052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21</col>
      <colOff>1</colOff>
      <row>3</row>
      <rowOff>185232</rowOff>
    </from>
    <to>
      <col>30</col>
      <colOff>222315</colOff>
      <row>20</row>
      <rowOff>163900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&#54616;&#52852;&#53440;%20&#49552;&#51061;&#48516;&#49437;%20&#44540;&#44144;.xlsx" TargetMode="External" Id="rId1"/><Relationship Type="http://schemas.openxmlformats.org/officeDocument/2006/relationships/hyperlink" Target="&#54616;&#52852;&#53440;%20&#49552;&#51061;&#48516;&#49437;%20&#44540;&#44144;.xlsx" TargetMode="External" Id="rId2"/><Relationship Type="http://schemas.openxmlformats.org/officeDocument/2006/relationships/hyperlink" Target="&#54616;&#52852;&#53440;%20&#49552;&#51061;&#48516;&#49437;%20&#44540;&#44144;.xlsx" TargetMode="External" Id="rId3"/><Relationship Type="http://schemas.openxmlformats.org/officeDocument/2006/relationships/hyperlink" Target="&#54616;&#52852;&#53440;%20&#49552;&#51061;&#48516;&#49437;%20&#44540;&#44144;.xlsx" TargetMode="External" Id="rId4"/><Relationship Type="http://schemas.openxmlformats.org/officeDocument/2006/relationships/hyperlink" Target="&#54616;&#52852;&#53440;%20&#49552;&#51061;&#48516;&#49437;%20&#44540;&#44144;.xlsx" TargetMode="External" Id="rId5"/><Relationship Type="http://schemas.openxmlformats.org/officeDocument/2006/relationships/hyperlink" Target="&#54616;&#52852;&#53440;%20&#49552;&#51061;&#48516;&#49437;%20&#44540;&#44144;.xlsx" TargetMode="External" Id="rId6"/><Relationship Type="http://schemas.openxmlformats.org/officeDocument/2006/relationships/hyperlink" Target="&#54616;&#52852;&#53440;%20&#49552;&#51061;&#48516;&#49437;%20&#44540;&#44144;.xlsx" TargetMode="External" Id="rId7"/><Relationship Type="http://schemas.openxmlformats.org/officeDocument/2006/relationships/hyperlink" Target="&#54616;&#52852;&#53440;%20&#49552;&#51061;&#48516;&#49437;%20&#44540;&#44144;.xlsx" TargetMode="External" Id="rId8"/><Relationship Type="http://schemas.openxmlformats.org/officeDocument/2006/relationships/hyperlink" Target="&#54616;&#52852;&#53440;%20&#49552;&#51061;&#48516;&#49437;%20&#44540;&#44144;.xlsx" TargetMode="External" Id="rId9"/><Relationship Type="http://schemas.openxmlformats.org/officeDocument/2006/relationships/hyperlink" Target="&#54616;&#52852;&#53440;%20&#49552;&#51061;&#48516;&#49437;%20&#44540;&#44144;.xlsx" TargetMode="External" Id="rId10"/><Relationship Type="http://schemas.openxmlformats.org/officeDocument/2006/relationships/hyperlink" Target="&#54616;&#52852;&#53440;%20&#49552;&#51061;&#48516;&#49437;%20&#44540;&#44144;.xlsx" TargetMode="External" Id="rId11"/><Relationship Type="http://schemas.openxmlformats.org/officeDocument/2006/relationships/hyperlink" Target="&#54616;&#52852;&#53440;%20&#49552;&#51061;&#48516;&#49437;%20&#44540;&#44144;.xlsx" TargetMode="External" Id="rId12"/><Relationship Type="http://schemas.openxmlformats.org/officeDocument/2006/relationships/hyperlink" Target="&#54616;&#52852;&#53440;%20&#49552;&#51061;&#48516;&#49437;%20&#44540;&#44144;.xlsx" TargetMode="External" Id="rId13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E42"/>
  <sheetViews>
    <sheetView zoomScale="85" zoomScaleNormal="85" workbookViewId="0">
      <selection activeCell="E45" sqref="E45"/>
    </sheetView>
  </sheetViews>
  <sheetFormatPr baseColWidth="8" defaultColWidth="8.7109375" defaultRowHeight="15"/>
  <cols>
    <col width="2" customWidth="1" min="1" max="1"/>
    <col width="30" customWidth="1" min="2" max="2"/>
    <col width="18" customWidth="1" min="3" max="4"/>
    <col width="87.140625" bestFit="1" customWidth="1" min="5" max="5"/>
  </cols>
  <sheetData>
    <row r="1" ht="20.25" customHeight="1">
      <c r="B1" s="2" t="inlineStr">
        <is>
          <t>하카타 항로 손익분석 — 근거 요약</t>
        </is>
      </c>
    </row>
    <row r="2">
      <c r="B2" s="3" t="inlineStr">
        <is>
          <t>대저페리 감사보고서(제3기·2024) 손익계산서를 원본 그대로 싣고, 1인당 인건비·지급수수료·목표 영업이익률 분석을 얹는다. 대조 선박은 산타모니카호를 하카타 항로에 투입한다는 가정.</t>
        </is>
      </c>
    </row>
    <row r="4" ht="31.5" customHeight="1">
      <c r="B4" s="122" t="inlineStr">
        <is>
          <t>지표</t>
        </is>
      </c>
      <c r="C4" s="122" t="inlineStr">
        <is>
          <t>참조 · 실적 2024
(대저페리 3기)</t>
        </is>
      </c>
      <c r="D4" s="122" t="inlineStr">
        <is>
          <t>대조 선박
(하카타 투입 가정)</t>
        </is>
      </c>
      <c r="E4" s="122" t="inlineStr">
        <is>
          <t>산식 · 근거 시트</t>
        </is>
      </c>
    </row>
    <row r="5">
      <c r="B5" s="4" t="inlineStr">
        <is>
          <t>영업손익 (원)</t>
        </is>
      </c>
      <c r="C5" s="123">
        <f>원가구조_기준!$C$13</f>
        <v/>
      </c>
      <c r="D5" s="123">
        <f>대조선박_손익!$C$87</f>
        <v/>
      </c>
      <c r="E5" s="11" t="inlineStr">
        <is>
          <t>참조: 손익계산서_원본 Ⅴ · 대조: 대조선박_손익 Ⅴ</t>
        </is>
      </c>
    </row>
    <row r="6">
      <c r="B6" s="4" t="inlineStr">
        <is>
          <t>영업이익률</t>
        </is>
      </c>
      <c r="C6" s="124">
        <f>원가구조_기준!$C$13/원가구조_기준!$C$7</f>
        <v/>
      </c>
      <c r="D6" s="124">
        <f>대조선박_손익!$C$97</f>
        <v/>
      </c>
      <c r="E6" s="11" t="n"/>
    </row>
    <row r="7">
      <c r="B7" s="7" t="inlineStr">
        <is>
          <t>EBITDA (원)</t>
        </is>
      </c>
      <c r="C7" s="123">
        <f>원가구조_기준!$C$15</f>
        <v/>
      </c>
      <c r="D7" s="123">
        <f>대조선박_손익!$C$88</f>
        <v/>
      </c>
      <c r="E7" s="11" t="inlineStr">
        <is>
          <t>영업이익 + 감가상각비</t>
        </is>
      </c>
    </row>
    <row r="8">
      <c r="B8" s="7" t="inlineStr">
        <is>
          <t>EBITDA 마진</t>
        </is>
      </c>
      <c r="C8" s="8">
        <f>원가구조_기준!$C$15/원가구조_기준!$C$7</f>
        <v/>
      </c>
      <c r="D8" s="8">
        <f>대조선박_손익!$C$88/대조선박_손익!$C$48</f>
        <v/>
      </c>
      <c r="E8" s="11" t="n"/>
    </row>
    <row r="9">
      <c r="B9" s="7" t="inlineStr">
        <is>
          <t>1인당 인건비 — 현금 (원/년)</t>
        </is>
      </c>
      <c r="C9" s="123">
        <f>인건비_부가가치!$C$29</f>
        <v/>
      </c>
      <c r="D9" s="123">
        <f>인건비_부가가치!$D$29</f>
        <v/>
      </c>
      <c r="E9" s="11" t="inlineStr">
        <is>
          <t>인건비_부가가치 3 · 대조는 지상직+해상직 전사 기준</t>
        </is>
      </c>
    </row>
    <row r="10">
      <c r="B10" s="9" t="inlineStr">
        <is>
          <t xml:space="preserve">  + 퇴직 (비현금) 1인당</t>
        </is>
      </c>
      <c r="C10" s="125">
        <f>인건비_부가가치!$C$31</f>
        <v/>
      </c>
      <c r="D10" s="125">
        <f>인건비_부가가치!$D$31</f>
        <v/>
      </c>
      <c r="E10" s="11" t="n"/>
    </row>
    <row r="11">
      <c r="B11" s="11" t="inlineStr">
        <is>
          <t xml:space="preserve">  합계 1인당</t>
        </is>
      </c>
      <c r="C11" s="125">
        <f>인건비_부가가치!$C$32</f>
        <v/>
      </c>
      <c r="D11" s="125">
        <f>인건비_부가가치!$D$32</f>
        <v/>
      </c>
      <c r="E11" s="11" t="n"/>
    </row>
    <row r="12">
      <c r="B12" s="4" t="inlineStr">
        <is>
          <t>손익분기 승객수 (명)</t>
        </is>
      </c>
      <c r="C12" s="12">
        <f>목표이익률_지표!$C$35</f>
        <v/>
      </c>
      <c r="D12" s="12">
        <f>목표이익률_지표!$C$81</f>
        <v/>
      </c>
      <c r="E12" s="11" t="inlineStr">
        <is>
          <t>목표이익률_지표 0% 행</t>
        </is>
      </c>
    </row>
    <row r="13">
      <c r="B13" s="11" t="inlineStr">
        <is>
          <t xml:space="preserve">  비교 기준 승객수</t>
        </is>
      </c>
      <c r="C13" s="13">
        <f>원가구조_기준!$C$45</f>
        <v/>
      </c>
      <c r="D13" s="13">
        <f>대조선박_손익!$C$25</f>
        <v/>
      </c>
      <c r="E13" s="11" t="inlineStr">
        <is>
          <t>참조: 실적 역산 · 대조: 승선율 기반 현재 설정</t>
        </is>
      </c>
    </row>
    <row r="14">
      <c r="B14" s="11" t="inlineStr">
        <is>
          <t xml:space="preserve">  차이</t>
        </is>
      </c>
      <c r="C14" s="126">
        <f>IFERROR(C12-C13,"")</f>
        <v/>
      </c>
      <c r="D14" s="126">
        <f>IFERROR(D12-D13,"")</f>
        <v/>
      </c>
      <c r="E14" s="11" t="n"/>
    </row>
    <row r="15">
      <c r="B15" s="11" t="inlineStr">
        <is>
          <t xml:space="preserve">  손익분기 승선율</t>
        </is>
      </c>
      <c r="C15" s="127">
        <f>IFERROR(목표이익률_지표!$C$35/(원가구조_기준!$C$47*설정값!$D$11),"")</f>
        <v/>
      </c>
      <c r="D15" s="127">
        <f>IFERROR(목표이익률_지표!$C$81/(대조선박_손익!$C$7*설정값!$D$43),"")</f>
        <v/>
      </c>
      <c r="E15" s="11" t="inlineStr">
        <is>
          <t>승객수 ÷ (정원 × 항차)</t>
        </is>
      </c>
    </row>
    <row r="16">
      <c r="B16" s="4" t="inlineStr">
        <is>
          <t>목표 달성 승객수 (명)</t>
        </is>
      </c>
      <c r="C16" s="12">
        <f>목표이익률_지표!$C$41</f>
        <v/>
      </c>
      <c r="D16" s="12">
        <f>목표이익률_지표!$C$87</f>
        <v/>
      </c>
      <c r="E16" s="11" t="inlineStr">
        <is>
          <t>목표이익률_지표 설정 목표 행</t>
        </is>
      </c>
    </row>
    <row r="17">
      <c r="B17" s="11" t="inlineStr">
        <is>
          <t xml:space="preserve">  목표 영업이익률</t>
        </is>
      </c>
      <c r="C17" s="127">
        <f>설정값!$D$19</f>
        <v/>
      </c>
      <c r="D17" s="127">
        <f>설정값!$D$44</f>
        <v/>
      </c>
      <c r="E17" s="11" t="inlineStr">
        <is>
          <t>설정값</t>
        </is>
      </c>
    </row>
    <row r="18">
      <c r="B18" s="11" t="inlineStr">
        <is>
          <t xml:space="preserve">  항차당 승객</t>
        </is>
      </c>
      <c r="C18" s="13">
        <f>IFERROR(목표이익률_지표!$C$41/설정값!$D$11,"")</f>
        <v/>
      </c>
      <c r="D18" s="13">
        <f>IFERROR(목표이익률_지표!$C$87/설정값!$D$43,"")</f>
        <v/>
      </c>
      <c r="E18" s="11" t="n"/>
    </row>
    <row r="19">
      <c r="B19" s="11" t="inlineStr">
        <is>
          <t xml:space="preserve">  목표 승선율</t>
        </is>
      </c>
      <c r="C19" s="127">
        <f>IFERROR(목표이익률_지표!$C$41/(원가구조_기준!$C$47*설정값!$D$11),"")</f>
        <v/>
      </c>
      <c r="D19" s="127">
        <f>IFERROR(목표이익률_지표!$C$87/(대조선박_손익!$C$7*설정값!$D$43),"")</f>
        <v/>
      </c>
      <c r="E19" s="11" t="n"/>
    </row>
    <row r="20">
      <c r="B20" s="4" t="inlineStr">
        <is>
          <t>가동율 (편도항차 ÷ 730)</t>
        </is>
      </c>
      <c r="C20" s="124">
        <f>설정값!$D$11/설정값!$D$91</f>
        <v/>
      </c>
      <c r="D20" s="124">
        <f>설정값!$D$43/설정값!$D$91</f>
        <v/>
      </c>
      <c r="E20" s="11" t="n"/>
    </row>
    <row r="21">
      <c r="B21" s="4" t="inlineStr">
        <is>
          <t>연간 편도 항차</t>
        </is>
      </c>
      <c r="C21" s="12">
        <f>설정값!$D$11</f>
        <v/>
      </c>
      <c r="D21" s="12">
        <f>설정값!$D$43</f>
        <v/>
      </c>
      <c r="E21" s="11" t="n"/>
    </row>
    <row r="22">
      <c r="B22" s="4" t="inlineStr">
        <is>
          <t>실현 단가 (원/인)</t>
        </is>
      </c>
      <c r="C22" s="123">
        <f>원가구조_기준!$C$44</f>
        <v/>
      </c>
      <c r="D22" s="123">
        <f>대조선박_손익!$C$23</f>
        <v/>
      </c>
      <c r="E22" s="11" t="inlineStr">
        <is>
          <t>가중평균 운임 + 유류할증료</t>
        </is>
      </c>
    </row>
    <row r="23">
      <c r="B23" s="4" t="inlineStr">
        <is>
          <t>매출액 (원)</t>
        </is>
      </c>
      <c r="C23" s="123">
        <f>원가구조_기준!$C$7</f>
        <v/>
      </c>
      <c r="D23" s="123">
        <f>대조선박_손익!$C$48</f>
        <v/>
      </c>
      <c r="E23" s="11" t="n"/>
    </row>
    <row r="24">
      <c r="B24" s="7" t="inlineStr">
        <is>
          <t>부채상환커버리지비율 DSCR (CFADS ÷ 거치 후 원리금)</t>
        </is>
      </c>
      <c r="C24" s="16" t="inlineStr">
        <is>
          <t>-</t>
        </is>
      </c>
      <c r="D24" s="16">
        <f>대조선박_손익!$C$104</f>
        <v/>
      </c>
      <c r="E24" s="11" t="inlineStr">
        <is>
          <t>대조선박_손익 6 — 분자 CFADS = EBITDA − 법인세 − 우발수리유보금 − 선박대체유보금</t>
        </is>
      </c>
    </row>
    <row r="25">
      <c r="B25" s="7" t="inlineStr">
        <is>
          <t>10개년 평균 영업이익 (백만원)</t>
        </is>
      </c>
      <c r="C25" s="123" t="inlineStr">
        <is>
          <t>-</t>
        </is>
      </c>
      <c r="D25" s="123">
        <f>'10개년_예상'!$O$48</f>
        <v/>
      </c>
      <c r="E25" s="11" t="inlineStr">
        <is>
          <t>선체이자 운항원가 반영 기준</t>
        </is>
      </c>
    </row>
    <row r="26">
      <c r="B26" s="4" t="inlineStr">
        <is>
          <t>대조 선박 분석 상태</t>
        </is>
      </c>
      <c r="C26" s="17" t="inlineStr">
        <is>
          <t>-</t>
        </is>
      </c>
      <c r="D26" s="17">
        <f>대조선박_손익!$C$8</f>
        <v/>
      </c>
      <c r="E26" s="11" t="n"/>
    </row>
    <row r="27">
      <c r="B27" s="4" t="inlineStr">
        <is>
          <t>검산 결과</t>
        </is>
      </c>
      <c r="C27" s="17">
        <f>검산!$F$32</f>
        <v/>
      </c>
      <c r="D27" s="17" t="n"/>
      <c r="E27" s="11" t="inlineStr">
        <is>
          <t>검산 시트 — 주석 7 퇴직급여충당부채 전입액은 보고서 자체 차이 1,193원 (도 ⚠ 표시)</t>
        </is>
      </c>
    </row>
    <row r="29">
      <c r="B29" s="18" t="inlineStr">
        <is>
          <t>시트 안내</t>
        </is>
      </c>
    </row>
    <row r="30">
      <c r="B30" s="19" t="inlineStr">
        <is>
          <t>설정값</t>
        </is>
      </c>
      <c r="C30" s="3" t="inlineStr">
        <is>
          <t>모든 가정·입력 (주황 칸) + 10개년 성장률 + 고정 상수</t>
        </is>
      </c>
    </row>
    <row r="31">
      <c r="B31" s="19" t="inlineStr">
        <is>
          <t>손익계산서_원본</t>
        </is>
      </c>
      <c r="C31" s="3" t="inlineStr">
        <is>
          <t>대저페리 제3기 감사보고서 손익계산서 (당기·전기) + 주석 15 운항원가 세부 + EBITDA 조정</t>
        </is>
      </c>
    </row>
    <row r="32">
      <c r="B32" s="19" t="inlineStr">
        <is>
          <t>주석_보조자료</t>
        </is>
      </c>
      <c r="C32" s="3" t="inlineStr">
        <is>
          <t>주석 15 부가가치 관련자료(천원) · 주석 7 · 현금흐름표 · 부가세예수금</t>
        </is>
      </c>
    </row>
    <row r="33">
      <c r="B33" s="19" t="inlineStr">
        <is>
          <t>원가구조_기준</t>
        </is>
      </c>
      <c r="C33" s="3" t="inlineStr">
        <is>
          <t>감사보고서 파생값 · 1인당 인건비 · 실현 단가/역산 승객수 · 운항기타 세목 · 고정/준변동/변동 분해</t>
        </is>
      </c>
    </row>
    <row r="34">
      <c r="B34" s="19" t="inlineStr">
        <is>
          <t>대조선박_손익</t>
        </is>
      </c>
      <c r="C34" s="3" t="inlineStr">
        <is>
          <t>대조 선박 스케일 규칙 · 운항기타 산출 근거 · 단일연도 손익계산서 · 수지 · DSCR</t>
        </is>
      </c>
    </row>
    <row r="35">
      <c r="B35" s="19" t="inlineStr">
        <is>
          <t>차입금_상환</t>
        </is>
      </c>
      <c r="C35" s="3" t="inlineStr">
        <is>
          <t>차입 조건 · 첫해 원리금 · 40년 상환 스케줄 (선체이자 근거)</t>
        </is>
      </c>
    </row>
    <row r="36">
      <c r="B36" s="20" t="inlineStr">
        <is>
          <t>10개년_예상</t>
        </is>
      </c>
      <c r="C36" s="3" t="inlineStr">
        <is>
          <t>대조 선박 10개년 예상 손익 (백만원) — 성장률 × 복리, 선체이자는 스케줄</t>
        </is>
      </c>
    </row>
    <row r="37">
      <c r="B37" s="19" t="inlineStr">
        <is>
          <t>목표이익률_지표</t>
        </is>
      </c>
      <c r="C37" s="3" t="inlineStr">
        <is>
          <t>손익분기·목표 승객수, 필요 운임, 원가 비중 — 참조·대조 (항차 자동증가 반복계산 포함)</t>
        </is>
      </c>
    </row>
    <row r="38">
      <c r="B38" s="20" t="inlineStr">
        <is>
          <t>CVP_손익분기</t>
        </is>
      </c>
      <c r="C38" s="3" t="inlineStr">
        <is>
          <t>승객수별 매출·총비용 표와 차트</t>
        </is>
      </c>
    </row>
    <row r="39">
      <c r="B39" s="19" t="inlineStr">
        <is>
          <t>인건비_부가가치</t>
        </is>
      </c>
      <c r="C39" s="21" t="inlineStr">
        <is>
          <t>1인당 분해 · 지상/해상 분리 · 부가가치 · 부가세 역산 가능성 · 지급수수료</t>
        </is>
      </c>
    </row>
    <row r="40">
      <c r="B40" s="19" t="inlineStr">
        <is>
          <t>운임_화물_선박</t>
        </is>
      </c>
      <c r="C40" s="3" t="inlineStr">
        <is>
          <t>대저페리 운임표 · 좌석 배율 · 선박 제원 · 차량 운임표 · 적재 케이스</t>
        </is>
      </c>
    </row>
    <row r="41">
      <c r="B41" s="19" t="inlineStr">
        <is>
          <t>검산</t>
        </is>
      </c>
      <c r="C41" s="3" t="inlineStr">
        <is>
          <t>보고서 기재값 대조 · 계산 경로 일치 검증</t>
        </is>
      </c>
    </row>
    <row r="42">
      <c r="B42" s="19" t="inlineStr">
        <is>
          <t>출처_한계</t>
        </is>
      </c>
      <c r="C42" s="3" t="inlineStr">
        <is>
          <t>자료 출처 · 분석의 한계 · 용어</t>
        </is>
      </c>
    </row>
  </sheetData>
  <hyperlinks>
    <hyperlink xmlns:r="http://schemas.openxmlformats.org/officeDocument/2006/relationships" ref="B30" location="'설정값'!A1" r:id="rId1"/>
    <hyperlink xmlns:r="http://schemas.openxmlformats.org/officeDocument/2006/relationships" ref="B31" location="'손익계산서_원본'!A1" r:id="rId2"/>
    <hyperlink xmlns:r="http://schemas.openxmlformats.org/officeDocument/2006/relationships" ref="B32" location="'주석_보조자료'!A1" r:id="rId3"/>
    <hyperlink xmlns:r="http://schemas.openxmlformats.org/officeDocument/2006/relationships" ref="B33" location="'원가구조_기준'!A1" r:id="rId4"/>
    <hyperlink xmlns:r="http://schemas.openxmlformats.org/officeDocument/2006/relationships" ref="B34" location="'대조선박_손익'!A1" r:id="rId5"/>
    <hyperlink xmlns:r="http://schemas.openxmlformats.org/officeDocument/2006/relationships" ref="B35" location="'차입금_상환'!A1" r:id="rId6"/>
    <hyperlink xmlns:r="http://schemas.openxmlformats.org/officeDocument/2006/relationships" ref="B36" location="'10개년_예상'!A1" r:id="rId7"/>
    <hyperlink xmlns:r="http://schemas.openxmlformats.org/officeDocument/2006/relationships" ref="B37" location="'목표이익률_지표'!A1" r:id="rId8"/>
    <hyperlink xmlns:r="http://schemas.openxmlformats.org/officeDocument/2006/relationships" ref="B38" location="'CVP_손익분기'!A1" r:id="rId9"/>
    <hyperlink xmlns:r="http://schemas.openxmlformats.org/officeDocument/2006/relationships" ref="B39" location="'인건비_부가가치'!A1" r:id="rId10"/>
    <hyperlink xmlns:r="http://schemas.openxmlformats.org/officeDocument/2006/relationships" ref="B40" location="'운임_화물_선박'!A1" r:id="rId11"/>
    <hyperlink xmlns:r="http://schemas.openxmlformats.org/officeDocument/2006/relationships" ref="B41" location="'검산'!A1" r:id="rId12"/>
    <hyperlink xmlns:r="http://schemas.openxmlformats.org/officeDocument/2006/relationships" ref="B42" location="'출처_한계'!A1" r:id="rId13"/>
  </hyperlinks>
  <pageMargins left="0.75" right="0.75" top="1" bottom="1" header="0.511811023622047" footer="0.511811023622047"/>
  <pageSetup orientation="landscape" fitToHeight="0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F110"/>
  <sheetViews>
    <sheetView tabSelected="1" zoomScale="85" zoomScaleNormal="85" workbookViewId="0">
      <pane ySplit="5" topLeftCell="A48" activePane="bottomLeft" state="frozen"/>
      <selection pane="bottomLeft" activeCell="H71" sqref="H71"/>
    </sheetView>
  </sheetViews>
  <sheetFormatPr baseColWidth="8" defaultColWidth="8.7109375" defaultRowHeight="15"/>
  <cols>
    <col width="2" customWidth="1" min="1" max="1"/>
    <col width="22" customWidth="1" min="2" max="2"/>
    <col width="34" customWidth="1" min="3" max="3"/>
    <col width="16" customWidth="1" min="4" max="4"/>
    <col width="10" customWidth="1" min="5" max="5"/>
    <col width="90" customWidth="1" min="6" max="6"/>
  </cols>
  <sheetData>
    <row r="1" ht="26.25" customHeight="1">
      <c r="B1" s="2" t="inlineStr">
        <is>
          <t>설정값 — 모든 가정·입력을 한 곳에</t>
        </is>
      </c>
    </row>
    <row r="2">
      <c r="B2" s="3" t="inlineStr">
        <is>
          <t>주황 바탕 칸만 바꾸면 모든 시트가 따라 움직인다. 기본값 =  화면의 기본값(감사보고서 기준안).</t>
        </is>
      </c>
    </row>
    <row r="4">
      <c r="B4" s="18" t="inlineStr">
        <is>
          <t>범례</t>
        </is>
      </c>
      <c r="C4" s="22" t="inlineStr">
        <is>
          <t>입력 (바꿔도 되는 칸)</t>
        </is>
      </c>
      <c r="D4" s="23" t="inlineStr">
        <is>
          <t>고정 상수</t>
        </is>
      </c>
      <c r="E4" s="11" t="inlineStr">
        <is>
          <t>계산</t>
        </is>
      </c>
      <c r="F4" s="21" t="inlineStr">
        <is>
          <t>O/X · 성격 · 상환방식 · 선박 · 케이스 칸은 드롭다운</t>
        </is>
      </c>
    </row>
    <row r="6" ht="16.5" customHeight="1">
      <c r="B6" s="24" t="inlineStr">
        <is>
          <t>A. 기준 자료 — 참조 선박 (대저페리 제3기 · 2024 · 엘도라도 익스프레스호)</t>
        </is>
      </c>
    </row>
    <row r="7">
      <c r="B7" s="122" t="inlineStr">
        <is>
          <t>그룹</t>
        </is>
      </c>
      <c r="C7" s="122" t="inlineStr">
        <is>
          <t>항목</t>
        </is>
      </c>
      <c r="D7" s="122" t="inlineStr">
        <is>
          <t>값</t>
        </is>
      </c>
      <c r="E7" s="122" t="inlineStr">
        <is>
          <t>단위</t>
        </is>
      </c>
      <c r="F7" s="122" t="inlineStr">
        <is>
          <t>근거 · 비고</t>
        </is>
      </c>
    </row>
    <row r="8">
      <c r="B8" s="3" t="inlineStr">
        <is>
          <t>인력</t>
        </is>
      </c>
      <c r="C8" s="11" t="inlineStr">
        <is>
          <t>지상직 (판관비)</t>
        </is>
      </c>
      <c r="D8" s="104" t="n">
        <v>30</v>
      </c>
      <c r="E8" s="11" t="inlineStr">
        <is>
          <t>명</t>
        </is>
      </c>
      <c r="F8" s="3" t="inlineStr">
        <is>
          <t>판관비 급여영역(직원급여·퇴직급여·복리후생비)을 나누는 인원</t>
        </is>
      </c>
    </row>
    <row r="9">
      <c r="B9" s="3" t="n"/>
      <c r="C9" s="11" t="inlineStr">
        <is>
          <t>선원</t>
        </is>
      </c>
      <c r="D9" s="104" t="n">
        <v>13</v>
      </c>
      <c r="E9" s="11" t="inlineStr">
        <is>
          <t>명</t>
        </is>
      </c>
      <c r="F9" s="3" t="inlineStr">
        <is>
          <t>가정 — 보고서에 인원 없음. 운항원가 인건비 1인당 산출에만 사용</t>
        </is>
      </c>
    </row>
    <row r="10">
      <c r="B10" s="3" t="n"/>
      <c r="C10" s="11" t="inlineStr">
        <is>
          <t>승무원</t>
        </is>
      </c>
      <c r="D10" s="104" t="n">
        <v>7</v>
      </c>
      <c r="E10" s="11" t="inlineStr">
        <is>
          <t>명</t>
        </is>
      </c>
      <c r="F10" s="3" t="inlineStr">
        <is>
          <t>가정 — 보고서에 인원 없음</t>
        </is>
      </c>
    </row>
    <row r="11">
      <c r="B11" s="3" t="n"/>
      <c r="C11" s="11" t="inlineStr">
        <is>
          <t>연간 편도 항차수</t>
        </is>
      </c>
      <c r="D11" s="104" t="n">
        <v>498</v>
      </c>
      <c r="E11" s="11" t="inlineStr">
        <is>
          <t>항차</t>
        </is>
      </c>
      <c r="F11" s="3" t="inlineStr">
        <is>
          <t>울릉크루즈 보도자료 연간 운항 실적 https://www.ulcruise.co.kr/www/aboutus/press?mode=view&amp;idx=5807</t>
        </is>
      </c>
    </row>
    <row r="12">
      <c r="B12" s="3" t="inlineStr">
        <is>
          <t>운임</t>
        </is>
      </c>
      <c r="C12" s="11" t="inlineStr">
        <is>
          <t>이코노미 대인 운임 (기준)</t>
        </is>
      </c>
      <c r="D12" s="128" t="n">
        <v>81000</v>
      </c>
      <c r="E12" s="11" t="inlineStr">
        <is>
          <t>원</t>
        </is>
      </c>
      <c r="F12" s="3" t="inlineStr">
        <is>
          <t>대저페리 공시 운임표 대인 이코노미 정상</t>
        </is>
      </c>
    </row>
    <row r="13">
      <c r="B13" s="3" t="n"/>
      <c r="C13" s="11" t="inlineStr">
        <is>
          <t>유류할증료</t>
        </is>
      </c>
      <c r="D13" s="128" t="n">
        <v>7950</v>
      </c>
      <c r="E13" s="11" t="inlineStr">
        <is>
          <t>원/인</t>
        </is>
      </c>
      <c r="F13" s="3" t="inlineStr">
        <is>
          <t>미공시 — 가정. 회계상 여객수입에 포함되므로 실현 단가에 더한다</t>
        </is>
      </c>
    </row>
    <row r="14">
      <c r="B14" s="3" t="n"/>
      <c r="C14" s="11" t="inlineStr">
        <is>
          <t>좌석 구성비 — 이코노미</t>
        </is>
      </c>
      <c r="D14" s="129" t="n">
        <v>1</v>
      </c>
      <c r="E14" s="9" t="inlineStr">
        <is>
          <t>%</t>
        </is>
      </c>
      <c r="F14" s="3" t="inlineStr">
        <is>
          <t>보고서에 없어 입력값. 합이 100%가 아니면 정규화</t>
        </is>
      </c>
    </row>
    <row r="15">
      <c r="B15" s="3" t="n"/>
      <c r="C15" s="11" t="inlineStr">
        <is>
          <t>좌석 구성비 — 비즈니스</t>
        </is>
      </c>
      <c r="D15" s="129" t="n">
        <v>0</v>
      </c>
      <c r="E15" s="9" t="inlineStr">
        <is>
          <t>%</t>
        </is>
      </c>
      <c r="F15" s="3" t="inlineStr">
        <is>
          <t>배율 1.5 (공시 운임)</t>
        </is>
      </c>
    </row>
    <row r="16">
      <c r="B16" s="3" t="n"/>
      <c r="C16" s="11" t="inlineStr">
        <is>
          <t>좌석 구성비 — 퍼스트</t>
        </is>
      </c>
      <c r="D16" s="129" t="n">
        <v>0</v>
      </c>
      <c r="E16" s="9" t="inlineStr">
        <is>
          <t>%</t>
        </is>
      </c>
      <c r="F16" s="3" t="inlineStr">
        <is>
          <t>배율 2.1173 (공시 운임)</t>
        </is>
      </c>
    </row>
    <row r="17">
      <c r="B17" s="3" t="inlineStr">
        <is>
          <t>원가</t>
        </is>
      </c>
      <c r="C17" s="11" t="inlineStr">
        <is>
          <t>승객 1인당 추가 변동비</t>
        </is>
      </c>
      <c r="D17" s="128" t="n">
        <v>0</v>
      </c>
      <c r="E17" s="11" t="inlineStr">
        <is>
          <t>원/인</t>
        </is>
      </c>
      <c r="F17" s="3" t="inlineStr">
        <is>
          <t>원가 구성표에 없는 몫을 손으로 얹는 칸</t>
        </is>
      </c>
    </row>
    <row r="18">
      <c r="B18" s="3" t="n"/>
      <c r="C18" s="11" t="inlineStr">
        <is>
          <t>승객이 정원을 넘으면 항차를 늘린다</t>
        </is>
      </c>
      <c r="D18" s="107" t="inlineStr">
        <is>
          <t>X</t>
        </is>
      </c>
      <c r="E18" s="9" t="inlineStr">
        <is>
          <t>O/X</t>
        </is>
      </c>
      <c r="F18" s="3" t="inlineStr">
        <is>
          <t>준변동비는 승객이 아니라 항차에 붙는다. O면 필요 항차 = MAX(설정 항차, ⌈승객수÷정원⌉)</t>
        </is>
      </c>
    </row>
    <row r="19">
      <c r="B19" s="3" t="inlineStr">
        <is>
          <t>목표</t>
        </is>
      </c>
      <c r="C19" s="11" t="inlineStr">
        <is>
          <t>목표 영업이익률</t>
        </is>
      </c>
      <c r="D19" s="129" t="n">
        <v>0.15</v>
      </c>
      <c r="E19" s="9" t="inlineStr">
        <is>
          <t>%</t>
        </is>
      </c>
      <c r="F19" s="3" t="inlineStr">
        <is>
          <t>참조(감사보고서 구조) 탭의 목표</t>
        </is>
      </c>
    </row>
    <row r="20">
      <c r="B20" s="3" t="inlineStr">
        <is>
          <t>승객</t>
        </is>
      </c>
      <c r="C20" s="11" t="inlineStr">
        <is>
          <t>시뮬레이션 연간 승객수</t>
        </is>
      </c>
      <c r="D20" s="104" t="n"/>
      <c r="E20" s="11" t="inlineStr">
        <is>
          <t>명</t>
        </is>
      </c>
      <c r="F20" s="3" t="inlineStr">
        <is>
          <t>비워 두면 실적 역산값 144,058명 (여객수입 ÷ 실현단가 88,950원 = 이코노미 81,000 + 유류할증 7,950). 화면도 같은 식으로 열린다.</t>
        </is>
      </c>
    </row>
    <row r="21" ht="16.5" customHeight="1">
      <c r="B21" s="24" t="inlineStr">
        <is>
          <t>A-2. 운항기타 세목 비율 (가정) — 감사보고서 잔액 7,148,774,749원을 나누는 비율</t>
        </is>
      </c>
    </row>
    <row r="22">
      <c r="B22" s="122" t="inlineStr">
        <is>
          <t>그룹</t>
        </is>
      </c>
      <c r="C22" s="122" t="inlineStr">
        <is>
          <t>세목</t>
        </is>
      </c>
      <c r="D22" s="122" t="inlineStr">
        <is>
          <t>비율</t>
        </is>
      </c>
      <c r="E22" s="122" t="inlineStr">
        <is>
          <t>단위</t>
        </is>
      </c>
      <c r="F22" s="122" t="inlineStr">
        <is>
          <t>기본 비율의 근거</t>
        </is>
      </c>
    </row>
    <row r="23">
      <c r="B23" s="3" t="inlineStr">
        <is>
          <t>운항비</t>
        </is>
      </c>
      <c r="C23" s="11" t="inlineStr">
        <is>
          <t>연료비</t>
        </is>
      </c>
      <c r="D23" s="25" t="n">
        <v>0.8345</v>
      </c>
      <c r="E23" s="9" t="inlineStr">
        <is>
          <t>%</t>
        </is>
      </c>
      <c r="F23" s="21" t="inlineStr">
        <is>
          <t>820$/MT · 편도 217km × 49.5kg/km · 500항차 역산 → 5,989,460,400원 · 항차에 붙는다</t>
        </is>
      </c>
    </row>
    <row r="24">
      <c r="B24" s="3" t="inlineStr">
        <is>
          <t>운항비</t>
        </is>
      </c>
      <c r="C24" s="11" t="inlineStr">
        <is>
          <t>항비</t>
        </is>
      </c>
      <c r="D24" s="25" t="n">
        <v>0.1115</v>
      </c>
      <c r="E24" s="9" t="inlineStr">
        <is>
          <t>%</t>
        </is>
      </c>
      <c r="F24" s="3" t="inlineStr">
        <is>
          <t>입출항료·접안료·도선료·터미널 — 나머지 넷을 뺀 잔액</t>
        </is>
      </c>
    </row>
    <row r="25">
      <c r="B25" s="3" t="inlineStr">
        <is>
          <t>선비</t>
        </is>
      </c>
      <c r="C25" s="11" t="inlineStr">
        <is>
          <t>보험료</t>
        </is>
      </c>
      <c r="D25" s="25" t="n">
        <v>0.0513</v>
      </c>
      <c r="E25" s="9" t="inlineStr">
        <is>
          <t>%</t>
        </is>
      </c>
      <c r="F25" s="3" t="inlineStr">
        <is>
          <t>주석 4 선박보험 부보액 73,378,500천원 × 0.5% (통상 요율) · P&amp;I 별도</t>
        </is>
      </c>
    </row>
    <row r="26">
      <c r="B26" s="3" t="inlineStr">
        <is>
          <t>선비</t>
        </is>
      </c>
      <c r="C26" s="11" t="inlineStr">
        <is>
          <t>수리비</t>
        </is>
      </c>
      <c r="D26" s="25" t="n">
        <v>0</v>
      </c>
      <c r="E26" s="9" t="inlineStr">
        <is>
          <t>%</t>
        </is>
      </c>
      <c r="F26" s="3" t="inlineStr">
        <is>
          <t>단일연도는 0 — 선령이 낮아 보증기간·보험금 청구로 처리(판관비 수선비도 당기 0원). 10개년에는 아래 E 섹션의 10년 수리비(첫해 700백만 · 연 5%)가 따로 들어간다.</t>
        </is>
      </c>
    </row>
    <row r="27">
      <c r="B27" s="3" t="inlineStr">
        <is>
          <t>선비</t>
        </is>
      </c>
      <c r="C27" s="11" t="inlineStr">
        <is>
          <t>선용품비</t>
        </is>
      </c>
      <c r="D27" s="25" t="n">
        <v>0.0027</v>
      </c>
      <c r="E27" s="9" t="inlineStr">
        <is>
          <t>%</t>
        </is>
      </c>
      <c r="F27" s="3" t="inlineStr">
        <is>
          <t>윤활유·소모품 — 저장품 감소분 53,922,777 → 34,438,118 (19,484,659원)</t>
        </is>
      </c>
    </row>
    <row r="28" ht="16.5" customHeight="1">
      <c r="B28" s="24" t="inlineStr">
        <is>
          <t>A-3. 원가 항목의 포함 여부 · 성격 (고정 · 준변동 · 변동)</t>
        </is>
      </c>
    </row>
    <row r="29">
      <c r="B29" s="122" t="inlineStr">
        <is>
          <t>손익계산서 소속</t>
        </is>
      </c>
      <c r="C29" s="122" t="inlineStr">
        <is>
          <t>원가 항목</t>
        </is>
      </c>
      <c r="D29" s="122" t="inlineStr">
        <is>
          <t>계산에 포함</t>
        </is>
      </c>
      <c r="E29" s="122" t="inlineStr">
        <is>
          <t>성격</t>
        </is>
      </c>
      <c r="F29" s="122" t="inlineStr">
        <is>
          <t>비고</t>
        </is>
      </c>
    </row>
    <row r="30">
      <c r="B30" s="3" t="inlineStr">
        <is>
          <t>운항원가</t>
        </is>
      </c>
      <c r="C30" s="11" t="inlineStr">
        <is>
          <t>운항 인건비 (급여·퇴직·복리)</t>
        </is>
      </c>
      <c r="D30" s="26" t="inlineStr">
        <is>
          <t>O</t>
        </is>
      </c>
      <c r="E30" s="27" t="inlineStr">
        <is>
          <t>고정</t>
        </is>
      </c>
      <c r="F30" s="3" t="inlineStr">
        <is>
          <t>선원+승무원 · 승객수 무관</t>
        </is>
      </c>
    </row>
    <row r="31">
      <c r="B31" s="3" t="inlineStr">
        <is>
          <t>운항원가</t>
        </is>
      </c>
      <c r="C31" s="11" t="inlineStr">
        <is>
          <t>운항 감가상각비</t>
        </is>
      </c>
      <c r="D31" s="26" t="inlineStr">
        <is>
          <t>O</t>
        </is>
      </c>
      <c r="E31" s="27" t="inlineStr">
        <is>
          <t>고정</t>
        </is>
      </c>
      <c r="F31" s="21" t="inlineStr">
        <is>
          <t>선가 ÷ 내용연수 정액 · 비현금 · 포함을 X로 두면 EBITDA 기준</t>
        </is>
      </c>
    </row>
    <row r="32">
      <c r="B32" s="3" t="inlineStr">
        <is>
          <t>운항원가</t>
        </is>
      </c>
      <c r="C32" s="11" t="inlineStr">
        <is>
          <t>운항 세금과공과·임차료</t>
        </is>
      </c>
      <c r="D32" s="26" t="inlineStr">
        <is>
          <t>O</t>
        </is>
      </c>
      <c r="E32" s="27" t="inlineStr">
        <is>
          <t>고정</t>
        </is>
      </c>
      <c r="F32" s="3" t="n"/>
    </row>
    <row r="33">
      <c r="B33" s="3" t="inlineStr">
        <is>
          <t>운항원가</t>
        </is>
      </c>
      <c r="C33" s="11" t="inlineStr">
        <is>
          <t>운항기타 (항비·연료비·잡비)</t>
        </is>
      </c>
      <c r="D33" s="26" t="inlineStr">
        <is>
          <t>O</t>
        </is>
      </c>
      <c r="E33" s="27" t="inlineStr">
        <is>
          <t>준변동</t>
        </is>
      </c>
      <c r="F33" s="3" t="inlineStr">
        <is>
          <t>운항원가의 58% · 항차 연동</t>
        </is>
      </c>
    </row>
    <row r="34">
      <c r="B34" s="3" t="inlineStr">
        <is>
          <t>판매비와관리비</t>
        </is>
      </c>
      <c r="C34" s="11" t="inlineStr">
        <is>
          <t>판관 급여영역</t>
        </is>
      </c>
      <c r="D34" s="26" t="inlineStr">
        <is>
          <t>O</t>
        </is>
      </c>
      <c r="E34" s="27" t="inlineStr">
        <is>
          <t>고정</t>
        </is>
      </c>
      <c r="F34" s="3" t="inlineStr">
        <is>
          <t>직원 수 연동 · 승객수 무관</t>
        </is>
      </c>
    </row>
    <row r="35">
      <c r="B35" s="3" t="inlineStr">
        <is>
          <t>판매비와관리비</t>
        </is>
      </c>
      <c r="C35" s="11" t="inlineStr">
        <is>
          <t>판관 그 밖 13과목</t>
        </is>
      </c>
      <c r="D35" s="26" t="inlineStr">
        <is>
          <t>O</t>
        </is>
      </c>
      <c r="E35" s="27" t="inlineStr">
        <is>
          <t>고정</t>
        </is>
      </c>
      <c r="F35" s="3" t="n"/>
    </row>
    <row r="36">
      <c r="B36" s="3" t="inlineStr">
        <is>
          <t>판매비와관리비</t>
        </is>
      </c>
      <c r="C36" s="11" t="inlineStr">
        <is>
          <t>지급수수료</t>
        </is>
      </c>
      <c r="D36" s="26" t="inlineStr">
        <is>
          <t>O</t>
        </is>
      </c>
      <c r="E36" s="27" t="inlineStr">
        <is>
          <t>변동</t>
        </is>
      </c>
      <c r="F36" s="3" t="inlineStr">
        <is>
          <t>예약·결제 수수료 · 승객 연동</t>
        </is>
      </c>
    </row>
    <row r="37" ht="16.5" customHeight="1">
      <c r="B37" s="24" t="inlineStr">
        <is>
          <t>B. 대조 선박 설정 — 하카타 항로 투입 시나리오</t>
        </is>
      </c>
    </row>
    <row r="38">
      <c r="B38" s="122" t="inlineStr">
        <is>
          <t>그룹</t>
        </is>
      </c>
      <c r="C38" s="122" t="inlineStr">
        <is>
          <t>항목</t>
        </is>
      </c>
      <c r="D38" s="108" t="inlineStr">
        <is>
          <t>값</t>
        </is>
      </c>
      <c r="E38" s="122" t="inlineStr">
        <is>
          <t>단위</t>
        </is>
      </c>
      <c r="F38" s="122" t="inlineStr">
        <is>
          <t>근거 · 비고</t>
        </is>
      </c>
    </row>
    <row r="39">
      <c r="B39" s="11" t="inlineStr">
        <is>
          <t>선박</t>
        </is>
      </c>
      <c r="C39" s="11" t="inlineStr">
        <is>
          <t>대조 선박</t>
        </is>
      </c>
      <c r="D39" s="109" t="inlineStr">
        <is>
          <t>산타모니카호</t>
        </is>
      </c>
      <c r="E39" s="11" t="n"/>
      <c r="F39" s="11" t="inlineStr">
        <is>
          <t>목록: 산타모니카호 · 퀸비틀(보류) · 코리아프라이드호(보류). 정원은 운임_화물_선박 시트에서 찾는다</t>
        </is>
      </c>
    </row>
    <row r="40">
      <c r="B40" s="11" t="inlineStr">
        <is>
          <t>인력</t>
        </is>
      </c>
      <c r="C40" s="11" t="inlineStr">
        <is>
          <t>지상직 (판관비)</t>
        </is>
      </c>
      <c r="D40" s="104" t="n">
        <v>30</v>
      </c>
      <c r="E40" s="11" t="inlineStr">
        <is>
          <t>명</t>
        </is>
      </c>
      <c r="F40" s="11" t="inlineStr">
        <is>
          <t>판관 급여 3과목 = 감사보고서 × (지상직 ÷ 30명)</t>
        </is>
      </c>
    </row>
    <row r="41">
      <c r="B41" s="11" t="n"/>
      <c r="C41" s="11" t="inlineStr">
        <is>
          <t>선원</t>
        </is>
      </c>
      <c r="D41" s="104" t="n">
        <v>13</v>
      </c>
      <c r="E41" s="11" t="inlineStr">
        <is>
          <t>명</t>
        </is>
      </c>
      <c r="F41" s="11" t="inlineStr">
        <is>
          <t>가정 — 운항 인건비 = 감사보고서 × (대조 해상직 ÷ 참조 해상직)</t>
        </is>
      </c>
    </row>
    <row r="42">
      <c r="B42" s="11" t="n"/>
      <c r="C42" s="11" t="inlineStr">
        <is>
          <t>승무원</t>
        </is>
      </c>
      <c r="D42" s="104" t="n">
        <v>7</v>
      </c>
      <c r="E42" s="11" t="inlineStr">
        <is>
          <t>명</t>
        </is>
      </c>
      <c r="F42" s="11" t="inlineStr">
        <is>
          <t>가정</t>
        </is>
      </c>
    </row>
    <row r="43">
      <c r="B43" s="11" t="n"/>
      <c r="C43" s="11" t="inlineStr">
        <is>
          <t>연간 편도 항차수</t>
        </is>
      </c>
      <c r="D43" s="104" t="n">
        <v>600</v>
      </c>
      <c r="E43" s="11" t="inlineStr">
        <is>
          <t>항차</t>
        </is>
      </c>
      <c r="F43" s="11" t="inlineStr">
        <is>
          <t>가정 — 운항기타 = 감사보고서 세목 × (대조 항차 ÷ 참조 항차)</t>
        </is>
      </c>
    </row>
    <row r="44">
      <c r="B44" s="11" t="inlineStr">
        <is>
          <t>목표</t>
        </is>
      </c>
      <c r="C44" s="11" t="inlineStr">
        <is>
          <t>목표 영업이익률</t>
        </is>
      </c>
      <c r="D44" s="129" t="n">
        <v>0.15</v>
      </c>
      <c r="E44" s="9" t="inlineStr">
        <is>
          <t>%</t>
        </is>
      </c>
      <c r="F44" s="11" t="inlineStr">
        <is>
          <t>대조(새 배를 20년 굴려 다시 살 수 있는가) 탭의 목표</t>
        </is>
      </c>
    </row>
    <row r="45">
      <c r="B45" s="11" t="inlineStr">
        <is>
          <t>연료</t>
        </is>
      </c>
      <c r="C45" s="11" t="inlineStr">
        <is>
          <t>연료 단가 — 2024 기준</t>
        </is>
      </c>
      <c r="D45" s="104" t="n">
        <v>820</v>
      </c>
      <c r="E45" s="9" t="inlineStr">
        <is>
          <t>$/MT</t>
        </is>
      </c>
      <c r="F45" s="9" t="inlineStr">
        <is>
          <t>2024 평균 (가정) — 감사보고서 실적을 설명하는 값</t>
        </is>
      </c>
    </row>
    <row r="46">
      <c r="B46" s="11" t="n"/>
      <c r="C46" s="11" t="inlineStr">
        <is>
          <t>연료 단가 — 현재</t>
        </is>
      </c>
      <c r="D46" s="104" t="n">
        <v>1325</v>
      </c>
      <c r="E46" s="9" t="inlineStr">
        <is>
          <t>$/MT</t>
        </is>
      </c>
      <c r="F46" s="9" t="inlineStr">
        <is>
          <t>수동 입력 기본값. "실제 시가" 모드로 두면 fuel_price.json 의 부산항 LSMGO 를 그대로 쓴다 (2026-10-05: 1,390$/MT · 1,343.98원/$). https://www.bunkerindex.com/prices/port.php?p=109&amp;n=busan-republic-of-korea</t>
        </is>
      </c>
    </row>
    <row r="47">
      <c r="B47" s="11" t="n"/>
      <c r="C47" s="11" t="inlineStr">
        <is>
          <t>환율 — 2024 기준</t>
        </is>
      </c>
      <c r="D47" s="110" t="n">
        <v>1360</v>
      </c>
      <c r="E47" s="11" t="inlineStr">
        <is>
          <t>원/$</t>
        </is>
      </c>
      <c r="F47" s="11" t="inlineStr">
        <is>
          <t>가정</t>
        </is>
      </c>
    </row>
    <row r="48">
      <c r="B48" s="11" t="n"/>
      <c r="C48" s="11" t="inlineStr">
        <is>
          <t>환율 — 현재</t>
        </is>
      </c>
      <c r="D48" s="110" t="n">
        <v>1346.24</v>
      </c>
      <c r="E48" s="11" t="inlineStr">
        <is>
          <t>원/$</t>
        </is>
      </c>
      <c r="F48" s="9" t="inlineStr">
        <is>
          <t>fuel_price.json · 2026-09-14</t>
        </is>
      </c>
    </row>
    <row r="49">
      <c r="B49" s="11" t="n"/>
      <c r="C49" s="11" t="inlineStr">
        <is>
          <t>연료비에 현재 증가율 반영</t>
        </is>
      </c>
      <c r="D49" s="107" t="inlineStr">
        <is>
          <t>O</t>
        </is>
      </c>
      <c r="E49" s="9" t="inlineStr">
        <is>
          <t>O/X</t>
        </is>
      </c>
      <c r="F49" s="11" t="inlineStr">
        <is>
          <t>연료비 세목에만 적용 (항비·보험료·수리비 제외). 배율 = (현재 $/MT × 환율) ÷ (기준 $/MT × 환율)</t>
        </is>
      </c>
    </row>
    <row r="50">
      <c r="B50" s="11" t="inlineStr">
        <is>
          <t>감가상각</t>
        </is>
      </c>
      <c r="C50" s="11" t="inlineStr">
        <is>
          <t>선가</t>
        </is>
      </c>
      <c r="D50" s="104" t="n">
        <v>50000</v>
      </c>
      <c r="E50" s="11" t="inlineStr">
        <is>
          <t>백만원</t>
        </is>
      </c>
      <c r="F50" s="11" t="inlineStr">
        <is>
          <t>비우거나 0이면 감사보고서 감가상각비(3,349백만) 사용</t>
        </is>
      </c>
    </row>
    <row r="51">
      <c r="B51" s="11" t="n"/>
      <c r="C51" s="11" t="inlineStr">
        <is>
          <t>내용연수</t>
        </is>
      </c>
      <c r="D51" s="104" t="n">
        <v>15</v>
      </c>
      <c r="E51" s="11" t="inlineStr">
        <is>
          <t>년</t>
        </is>
      </c>
      <c r="F51" s="11" t="inlineStr">
        <is>
          <t>정액법 — 선박 대체 유보금 적립 기간(E 섹션)도 이 햇수를 쓴다</t>
        </is>
      </c>
    </row>
    <row r="52">
      <c r="B52" s="11" t="n"/>
      <c r="C52" s="11" t="inlineStr">
        <is>
          <t>잔존가치</t>
        </is>
      </c>
      <c r="D52" s="129" t="n">
        <v>1</v>
      </c>
      <c r="E52" s="9" t="inlineStr">
        <is>
          <t>백만원</t>
        </is>
      </c>
      <c r="F52" s="11" t="inlineStr">
        <is>
          <t>단위를 백만원 또는 선가 대비 %로 고를 수 있다. 화면 기본값은 1백만원</t>
        </is>
      </c>
    </row>
    <row r="53">
      <c r="B53" s="11" t="inlineStr">
        <is>
          <t>차입금</t>
        </is>
      </c>
      <c r="C53" s="11" t="inlineStr">
        <is>
          <t>차입금</t>
        </is>
      </c>
      <c r="D53" s="104" t="n">
        <v>20000</v>
      </c>
      <c r="E53" s="11" t="inlineStr">
        <is>
          <t>백만원</t>
        </is>
      </c>
      <c r="F53" s="11" t="inlineStr">
        <is>
          <t>비우거나 0이면 이자 미적용</t>
        </is>
      </c>
    </row>
    <row r="54">
      <c r="B54" s="11" t="n"/>
      <c r="C54" s="11" t="inlineStr">
        <is>
          <t>이자율</t>
        </is>
      </c>
      <c r="D54" s="129" t="n">
        <v>0.035</v>
      </c>
      <c r="E54" s="9" t="inlineStr">
        <is>
          <t>%</t>
        </is>
      </c>
      <c r="F54" s="11" t="n"/>
    </row>
    <row r="55">
      <c r="B55" s="11" t="n"/>
      <c r="C55" s="11" t="inlineStr">
        <is>
          <t>상환기간</t>
        </is>
      </c>
      <c r="D55" s="104" t="n">
        <v>15</v>
      </c>
      <c r="E55" s="11" t="inlineStr">
        <is>
          <t>년</t>
        </is>
      </c>
      <c r="F55" s="11" t="n"/>
    </row>
    <row r="56">
      <c r="B56" s="11" t="n"/>
      <c r="C56" s="11" t="inlineStr">
        <is>
          <t>거치기간</t>
        </is>
      </c>
      <c r="D56" s="104" t="n">
        <v>3</v>
      </c>
      <c r="E56" s="11" t="inlineStr">
        <is>
          <t>년</t>
        </is>
      </c>
      <c r="F56" s="11" t="inlineStr">
        <is>
          <t>거치 중에는 이자만</t>
        </is>
      </c>
    </row>
    <row r="57">
      <c r="B57" s="11" t="n"/>
      <c r="C57" s="11" t="inlineStr">
        <is>
          <t>상환방식</t>
        </is>
      </c>
      <c r="D57" s="109" t="inlineStr">
        <is>
          <t>원금균등</t>
        </is>
      </c>
      <c r="E57" s="11" t="n"/>
      <c r="F57" s="11" t="inlineStr">
        <is>
          <t>원리금균등 — 매년 같은 금액 · 원금균등 — 원금 일정, 이자 체감 · 만기일시 — 기간 중 이자만. 화면 기본값은 원금균등</t>
        </is>
      </c>
    </row>
    <row r="58">
      <c r="B58" s="11" t="inlineStr">
        <is>
          <t>승객</t>
        </is>
      </c>
      <c r="C58" s="11" t="inlineStr">
        <is>
          <t>항차당 승선율 (정원 대비)</t>
        </is>
      </c>
      <c r="D58" s="129" t="n">
        <v>0.5</v>
      </c>
      <c r="E58" s="9" t="inlineStr">
        <is>
          <t>%</t>
        </is>
      </c>
      <c r="F58" s="11" t="inlineStr">
        <is>
          <t>수요는 승선율에서 내려온다: 승선율 → 항차당 인원 → 연간 승객수</t>
        </is>
      </c>
    </row>
    <row r="59">
      <c r="B59" s="11" t="n"/>
      <c r="C59" s="11" t="inlineStr">
        <is>
          <t>인원수로 직접 입력</t>
        </is>
      </c>
      <c r="D59" s="107" t="inlineStr">
        <is>
          <t>X</t>
        </is>
      </c>
      <c r="E59" s="9" t="inlineStr">
        <is>
          <t>O/X</t>
        </is>
      </c>
      <c r="F59" s="9" t="inlineStr">
        <is>
          <t>O면 아래 연간 승객수가 주인이 되고 승선율이 결과가 된다</t>
        </is>
      </c>
    </row>
    <row r="60">
      <c r="B60" s="11" t="n"/>
      <c r="C60" s="11" t="inlineStr">
        <is>
          <t>연간 승객수 (직접 입력 시)</t>
        </is>
      </c>
      <c r="D60" s="104" t="n"/>
      <c r="E60" s="11" t="inlineStr">
        <is>
          <t>명</t>
        </is>
      </c>
      <c r="F60" s="9" t="inlineStr">
        <is>
          <t>"인원수로 직접 입력" = O 일 때만 사용</t>
        </is>
      </c>
    </row>
    <row r="61">
      <c r="B61" s="11" t="inlineStr">
        <is>
          <t>운임</t>
        </is>
      </c>
      <c r="C61" s="11" t="inlineStr">
        <is>
          <t>이코노미 대인 편도운임 (기준)</t>
        </is>
      </c>
      <c r="D61" s="128" t="n">
        <v>90000</v>
      </c>
      <c r="E61" s="11" t="inlineStr">
        <is>
          <t>원</t>
        </is>
      </c>
      <c r="F61" s="11" t="inlineStr">
        <is>
          <t>가정</t>
        </is>
      </c>
    </row>
    <row r="62">
      <c r="B62" s="11" t="n"/>
      <c r="C62" s="11" t="inlineStr">
        <is>
          <t>유류할증료</t>
        </is>
      </c>
      <c r="D62" s="128" t="n">
        <v>30000</v>
      </c>
      <c r="E62" s="11" t="inlineStr">
        <is>
          <t>원/인</t>
        </is>
      </c>
      <c r="F62" s="11" t="inlineStr">
        <is>
          <t>가정</t>
        </is>
      </c>
    </row>
    <row r="63">
      <c r="B63" s="11" t="n"/>
      <c r="C63" s="11" t="inlineStr">
        <is>
          <t>좌석 구성비 — 이코노미</t>
        </is>
      </c>
      <c r="D63" s="129" t="n">
        <v>1</v>
      </c>
      <c r="E63" s="9" t="inlineStr">
        <is>
          <t>%</t>
        </is>
      </c>
      <c r="F63" s="11" t="inlineStr">
        <is>
          <t>배율은 대저페리 운임표와 같다</t>
        </is>
      </c>
    </row>
    <row r="64">
      <c r="B64" s="11" t="n"/>
      <c r="C64" s="11" t="inlineStr">
        <is>
          <t>좌석 구성비 — 비즈니스</t>
        </is>
      </c>
      <c r="D64" s="129" t="n">
        <v>0</v>
      </c>
      <c r="E64" s="9" t="inlineStr">
        <is>
          <t>%</t>
        </is>
      </c>
      <c r="F64" s="11" t="n"/>
    </row>
    <row r="65">
      <c r="B65" s="11" t="n"/>
      <c r="C65" s="11" t="inlineStr">
        <is>
          <t>좌석 구성비 — 퍼스트</t>
        </is>
      </c>
      <c r="D65" s="129" t="n">
        <v>0</v>
      </c>
      <c r="E65" s="9" t="inlineStr">
        <is>
          <t>%</t>
        </is>
      </c>
      <c r="F65" s="11" t="n"/>
    </row>
    <row r="66">
      <c r="B66" s="11" t="inlineStr">
        <is>
          <t>화물</t>
        </is>
      </c>
      <c r="C66" s="11" t="inlineStr">
        <is>
          <t>화물 선적율</t>
        </is>
      </c>
      <c r="D66" s="129" t="n">
        <v>0.3</v>
      </c>
      <c r="E66" s="9" t="inlineStr">
        <is>
          <t>%</t>
        </is>
      </c>
      <c r="F66" s="11" t="inlineStr">
        <is>
          <t>적재 가능량 대비 실제 싣는 비율</t>
        </is>
      </c>
    </row>
    <row r="67">
      <c r="B67" s="11" t="n"/>
      <c r="C67" s="11" t="inlineStr">
        <is>
          <t>산타모니카 적재 케이스</t>
        </is>
      </c>
      <c r="D67" s="111" t="n">
        <v>4</v>
      </c>
      <c r="E67" s="9" t="inlineStr">
        <is>
          <t>Case</t>
        </is>
      </c>
      <c r="F67" s="9" t="inlineStr">
        <is>
          <t>1~5 (운임_화물_선박 시트 4번 표). 기본 Case 4 = 1톤트럭 38 · 소형 4 · 캐러밴 20 ★최대</t>
        </is>
      </c>
    </row>
    <row r="68" ht="16.5" customHeight="1">
      <c r="B68" s="24" t="inlineStr">
        <is>
          <t>C. 10개년 성장률 가정 (연 %) — 10개년_예상 시트</t>
        </is>
      </c>
    </row>
    <row r="69">
      <c r="B69" s="122" t="inlineStr">
        <is>
          <t>그룹</t>
        </is>
      </c>
      <c r="C69" s="122" t="inlineStr">
        <is>
          <t>계정</t>
        </is>
      </c>
      <c r="D69" s="122" t="inlineStr">
        <is>
          <t>성장률</t>
        </is>
      </c>
      <c r="E69" s="122" t="inlineStr">
        <is>
          <t>단위</t>
        </is>
      </c>
      <c r="F69" s="122" t="inlineStr">
        <is>
          <t>비고</t>
        </is>
      </c>
    </row>
    <row r="70">
      <c r="B70" s="11" t="inlineStr">
        <is>
          <t>매출</t>
        </is>
      </c>
      <c r="C70" s="11" t="inlineStr">
        <is>
          <t>여객수입</t>
        </is>
      </c>
      <c r="D70" s="25" t="n">
        <v>0.027</v>
      </c>
      <c r="E70" s="9" t="inlineStr">
        <is>
          <t>%/년</t>
        </is>
      </c>
      <c r="F70" s="11" t="n"/>
    </row>
    <row r="71">
      <c r="B71" s="11" t="n"/>
      <c r="C71" s="11" t="inlineStr">
        <is>
          <t>화물수입</t>
        </is>
      </c>
      <c r="D71" s="25" t="n">
        <v>0.018</v>
      </c>
      <c r="E71" s="9" t="inlineStr">
        <is>
          <t>%/년</t>
        </is>
      </c>
      <c r="F71" s="11" t="n"/>
    </row>
    <row r="72">
      <c r="B72" s="11" t="n"/>
      <c r="C72" s="11" t="inlineStr">
        <is>
          <t>임대료수입</t>
        </is>
      </c>
      <c r="D72" s="25" t="n">
        <v>0</v>
      </c>
      <c r="E72" s="9" t="inlineStr">
        <is>
          <t>%/년</t>
        </is>
      </c>
      <c r="F72" s="11" t="n"/>
    </row>
    <row r="73">
      <c r="B73" s="11" t="inlineStr">
        <is>
          <t>운항원가 · 인건비 (해상직원)</t>
        </is>
      </c>
      <c r="C73" s="11" t="inlineStr">
        <is>
          <t>급여</t>
        </is>
      </c>
      <c r="D73" s="25" t="n">
        <v>0.0271</v>
      </c>
      <c r="E73" s="9" t="inlineStr">
        <is>
          <t>%/년</t>
        </is>
      </c>
      <c r="F73" s="11" t="n"/>
    </row>
    <row r="74">
      <c r="B74" s="11" t="n"/>
      <c r="C74" s="11" t="inlineStr">
        <is>
          <t>퇴직급여</t>
        </is>
      </c>
      <c r="D74" s="25" t="n">
        <v>0.0271</v>
      </c>
      <c r="E74" s="9" t="inlineStr">
        <is>
          <t>%/년</t>
        </is>
      </c>
      <c r="F74" s="11" t="n"/>
    </row>
    <row r="75">
      <c r="B75" s="11" t="n"/>
      <c r="C75" s="11" t="inlineStr">
        <is>
          <t>복리후생비</t>
        </is>
      </c>
      <c r="D75" s="25" t="n">
        <v>0.024</v>
      </c>
      <c r="E75" s="9" t="inlineStr">
        <is>
          <t>%/년</t>
        </is>
      </c>
      <c r="F75" s="11" t="n"/>
    </row>
    <row r="76">
      <c r="B76" s="11" t="inlineStr">
        <is>
          <t>운항원가 · 운항</t>
        </is>
      </c>
      <c r="C76" s="11" t="inlineStr">
        <is>
          <t>감가상각비</t>
        </is>
      </c>
      <c r="D76" s="25" t="n">
        <v>0</v>
      </c>
      <c r="E76" s="9" t="inlineStr">
        <is>
          <t>%/년</t>
        </is>
      </c>
      <c r="F76" s="11" t="inlineStr">
        <is>
          <t>선체이자는 성장률이 아니라 상환 스케줄을 따른다</t>
        </is>
      </c>
    </row>
    <row r="77">
      <c r="B77" s="11" t="n"/>
      <c r="C77" s="11" t="inlineStr">
        <is>
          <t>세금과공과</t>
        </is>
      </c>
      <c r="D77" s="25" t="n">
        <v>0.0292</v>
      </c>
      <c r="E77" s="9" t="inlineStr">
        <is>
          <t>%/년</t>
        </is>
      </c>
      <c r="F77" s="11" t="n"/>
    </row>
    <row r="78">
      <c r="B78" s="11" t="n"/>
      <c r="C78" s="11" t="inlineStr">
        <is>
          <t>임차료</t>
        </is>
      </c>
      <c r="D78" s="25" t="n">
        <v>0</v>
      </c>
      <c r="E78" s="9" t="inlineStr">
        <is>
          <t>%/년</t>
        </is>
      </c>
      <c r="F78" s="11" t="n"/>
    </row>
    <row r="79">
      <c r="B79" s="11" t="inlineStr">
        <is>
          <t>운항원가 · 운항기타 세목</t>
        </is>
      </c>
      <c r="C79" s="11" t="inlineStr">
        <is>
          <t>연료비</t>
        </is>
      </c>
      <c r="D79" s="25" t="n">
        <v>-0.0089</v>
      </c>
      <c r="E79" s="9" t="inlineStr">
        <is>
          <t>%/년</t>
        </is>
      </c>
      <c r="F79" s="11" t="n"/>
    </row>
    <row r="80">
      <c r="B80" s="11" t="n"/>
      <c r="C80" s="11" t="inlineStr">
        <is>
          <t>항비</t>
        </is>
      </c>
      <c r="D80" s="25" t="n">
        <v>0.0785</v>
      </c>
      <c r="E80" s="9" t="inlineStr">
        <is>
          <t>%/년</t>
        </is>
      </c>
      <c r="F80" s="11" t="n"/>
    </row>
    <row r="81">
      <c r="B81" s="11" t="n"/>
      <c r="C81" s="11" t="inlineStr">
        <is>
          <t>보험료</t>
        </is>
      </c>
      <c r="D81" s="25" t="n">
        <v>0.0382</v>
      </c>
      <c r="E81" s="9" t="inlineStr">
        <is>
          <t>%/년</t>
        </is>
      </c>
      <c r="F81" s="11" t="n"/>
    </row>
    <row r="82">
      <c r="B82" s="11" t="n"/>
      <c r="C82" s="11" t="inlineStr">
        <is>
          <t>수리비</t>
        </is>
      </c>
      <c r="D82" s="25" t="n">
        <v>0.05</v>
      </c>
      <c r="E82" s="9" t="inlineStr">
        <is>
          <t>%/년</t>
        </is>
      </c>
      <c r="F82" s="11" t="inlineStr">
        <is>
          <t>10개년 수리비에만 걸린다 — 단일연도는 0 (위 A-2 수리비 비율 0%)</t>
        </is>
      </c>
    </row>
    <row r="83">
      <c r="B83" s="11" t="n"/>
      <c r="C83" s="11" t="inlineStr">
        <is>
          <t>선용품비</t>
        </is>
      </c>
      <c r="D83" s="25" t="n">
        <v>0.15</v>
      </c>
      <c r="E83" s="9" t="inlineStr">
        <is>
          <t>%/년</t>
        </is>
      </c>
      <c r="F83" s="11" t="n"/>
    </row>
    <row r="84">
      <c r="B84" s="11" t="inlineStr">
        <is>
          <t>판매관리비</t>
        </is>
      </c>
      <c r="C84" s="11" t="inlineStr">
        <is>
          <t>인건비 (직원급여·퇴직·복리)</t>
        </is>
      </c>
      <c r="D84" s="25" t="n">
        <v>0.0568</v>
      </c>
      <c r="E84" s="9" t="inlineStr">
        <is>
          <t>%/년</t>
        </is>
      </c>
      <c r="F84" s="11" t="n"/>
    </row>
    <row r="85">
      <c r="B85" s="11" t="n"/>
      <c r="C85" s="11" t="inlineStr">
        <is>
          <t>세금과공과</t>
        </is>
      </c>
      <c r="D85" s="25" t="n">
        <v>0.0292</v>
      </c>
      <c r="E85" s="9" t="inlineStr">
        <is>
          <t>%/년</t>
        </is>
      </c>
      <c r="F85" s="11" t="n"/>
    </row>
    <row r="86">
      <c r="B86" s="11" t="n"/>
      <c r="C86" s="11" t="inlineStr">
        <is>
          <t>지급수수료</t>
        </is>
      </c>
      <c r="D86" s="25" t="n">
        <v>0.0234</v>
      </c>
      <c r="E86" s="9" t="inlineStr">
        <is>
          <t>%/년</t>
        </is>
      </c>
      <c r="F86" s="11" t="n"/>
    </row>
    <row r="87">
      <c r="B87" s="11" t="n"/>
      <c r="C87" s="11" t="inlineStr">
        <is>
          <t>그 외 (세금과공과·지급수수료 제외)</t>
        </is>
      </c>
      <c r="D87" s="25" t="n">
        <v>0.027</v>
      </c>
      <c r="E87" s="9" t="inlineStr">
        <is>
          <t>%/년</t>
        </is>
      </c>
      <c r="F87" s="11" t="n"/>
    </row>
    <row r="88" ht="16.5" customHeight="1">
      <c r="B88" s="24" t="inlineStr">
        <is>
          <t>D. 고정 상수 ( 코드 안의 상수)</t>
        </is>
      </c>
    </row>
    <row r="89">
      <c r="B89" s="122" t="inlineStr">
        <is>
          <t>그룹</t>
        </is>
      </c>
      <c r="C89" s="122" t="inlineStr">
        <is>
          <t>항목</t>
        </is>
      </c>
      <c r="D89" s="122" t="inlineStr">
        <is>
          <t>값</t>
        </is>
      </c>
      <c r="E89" s="122" t="inlineStr">
        <is>
          <t>단위</t>
        </is>
      </c>
      <c r="F89" s="122" t="inlineStr">
        <is>
          <t>비고</t>
        </is>
      </c>
    </row>
    <row r="90">
      <c r="B90" s="11" t="inlineStr">
        <is>
          <t>인력</t>
        </is>
      </c>
      <c r="C90" s="11" t="inlineStr">
        <is>
          <t>판관 급여영역 기준 인원</t>
        </is>
      </c>
      <c r="D90" s="28" t="n">
        <v>30</v>
      </c>
      <c r="E90" s="11" t="inlineStr">
        <is>
          <t>명</t>
        </is>
      </c>
      <c r="F90" s="3" t="inlineStr">
        <is>
          <t>감사보고서 판관 급여영역 1인당(PER_HEAD) 산정 분모 — 고정</t>
        </is>
      </c>
    </row>
    <row r="91">
      <c r="B91" s="11" t="inlineStr">
        <is>
          <t>가동율</t>
        </is>
      </c>
      <c r="C91" s="11" t="inlineStr">
        <is>
          <t>가동율 분모 (365일 × 2)</t>
        </is>
      </c>
      <c r="D91" s="28" t="n">
        <v>730</v>
      </c>
      <c r="E91" s="11" t="inlineStr">
        <is>
          <t>편도/년</t>
        </is>
      </c>
      <c r="F91" s="3" t="inlineStr">
        <is>
          <t>가동율 = 연간 편도 항차 ÷ 730</t>
        </is>
      </c>
    </row>
    <row r="92">
      <c r="B92" s="11" t="inlineStr">
        <is>
          <t>연료 역산 참고</t>
        </is>
      </c>
      <c r="C92" s="11" t="inlineStr">
        <is>
          <t>편도 거리 (포항↔울릉)</t>
        </is>
      </c>
      <c r="D92" s="28" t="n">
        <v>217</v>
      </c>
      <c r="E92" s="9" t="inlineStr">
        <is>
          <t>km</t>
        </is>
      </c>
      <c r="F92" s="3" t="inlineStr">
        <is>
          <t>연료비 역산 참고값 — 부산↔하카타 213km와 4km 차이</t>
        </is>
      </c>
    </row>
    <row r="93">
      <c r="B93" s="11" t="n"/>
      <c r="C93" s="11" t="inlineStr">
        <is>
          <t>연료 소모율</t>
        </is>
      </c>
      <c r="D93" s="130" t="n">
        <v>49.5</v>
      </c>
      <c r="E93" s="9" t="inlineStr">
        <is>
          <t>kg/km</t>
        </is>
      </c>
      <c r="F93" s="3" t="inlineStr">
        <is>
          <t>연료비 역산 참고값</t>
        </is>
      </c>
    </row>
    <row r="94">
      <c r="B94" s="11" t="n"/>
      <c r="C94" s="11" t="inlineStr">
        <is>
          <t>연료 비중</t>
        </is>
      </c>
      <c r="D94" s="30" t="n">
        <v>0.86</v>
      </c>
      <c r="E94" s="9" t="inlineStr">
        <is>
          <t>kg/L</t>
        </is>
      </c>
      <c r="F94" s="3" t="inlineStr">
        <is>
          <t>참고값</t>
        </is>
      </c>
    </row>
    <row r="95">
      <c r="B95" s="11" t="n"/>
      <c r="C95" s="11" t="inlineStr">
        <is>
          <t>목표 계단</t>
        </is>
      </c>
      <c r="D95" s="31" t="inlineStr">
        <is>
          <t>0% · 3% · 5% · 8% · 10% · 15%</t>
        </is>
      </c>
      <c r="E95" s="11" t="n"/>
      <c r="F95" s="3" t="inlineStr">
        <is>
          <t>목표이익률_지표 시트의 계단 ( 고정 목록) + 설정 목표</t>
        </is>
      </c>
    </row>
    <row r="97" ht="16.5" customHeight="1">
      <c r="B97" s="24" t="inlineStr">
        <is>
          <t>E. 추가 설정 — 화면에 있으나 이 파일에 없던 값</t>
        </is>
      </c>
    </row>
    <row r="98">
      <c r="B98" s="122" t="inlineStr">
        <is>
          <t>그룹</t>
        </is>
      </c>
      <c r="C98" s="122" t="inlineStr">
        <is>
          <t>항목</t>
        </is>
      </c>
      <c r="D98" s="122" t="inlineStr">
        <is>
          <t>값</t>
        </is>
      </c>
      <c r="E98" s="122" t="inlineStr">
        <is>
          <t>단위</t>
        </is>
      </c>
      <c r="F98" s="122" t="inlineStr">
        <is>
          <t>근거 · 비고</t>
        </is>
      </c>
    </row>
    <row r="99">
      <c r="B99" s="11" t="inlineStr">
        <is>
          <t>대조 · 매출</t>
        </is>
      </c>
      <c r="C99" s="11" t="inlineStr">
        <is>
          <t>대리점비 (매출 대비)</t>
        </is>
      </c>
      <c r="D99" s="129" t="n">
        <v>0.15</v>
      </c>
      <c r="E99" s="9" t="inlineStr">
        <is>
          <t>%</t>
        </is>
      </c>
      <c r="F99" s="3" t="inlineStr">
        <is>
          <t>일본 현지 대리점 — 매출액 × 비율. 운항원가에 들어간다</t>
        </is>
      </c>
    </row>
    <row r="100">
      <c r="B100" s="11" t="inlineStr">
        <is>
          <t>대조 · 화물</t>
        </is>
      </c>
      <c r="C100" s="11" t="inlineStr">
        <is>
          <t>운항거리 배수</t>
        </is>
      </c>
      <c r="D100" s="28" t="n">
        <v>2.51</v>
      </c>
      <c r="E100" s="9" t="inlineStr">
        <is>
          <t>배</t>
        </is>
      </c>
      <c r="F100" s="3" t="inlineStr">
        <is>
          <t>시월드 운임표는 진도–제주 ≈85km 기준 · 부산–하카타 213km → 2.51배</t>
        </is>
      </c>
    </row>
    <row r="101">
      <c r="B101" s="11" t="inlineStr">
        <is>
          <t>세무</t>
        </is>
      </c>
      <c r="C101" s="11" t="inlineStr">
        <is>
          <t>톤세 적용</t>
        </is>
      </c>
      <c r="D101" s="109" t="inlineStr">
        <is>
          <t>O</t>
        </is>
      </c>
      <c r="E101" s="9" t="inlineStr">
        <is>
          <t>O/X</t>
        </is>
      </c>
      <c r="F101" s="3" t="inlineStr">
        <is>
          <t>조세특례제한법 §104-10 외항 해운기업 과세특례. X면 통상 법인세(누진)</t>
        </is>
      </c>
    </row>
    <row r="102">
      <c r="B102" s="11" t="inlineStr">
        <is>
          <t>세무</t>
        </is>
      </c>
      <c r="C102" s="11" t="inlineStr">
        <is>
          <t>순톤수 (NT)</t>
        </is>
      </c>
      <c r="D102" s="104" t="n">
        <v>1200</v>
      </c>
      <c r="E102" s="9" t="inlineStr">
        <is>
          <t>톤</t>
        </is>
      </c>
      <c r="F102" s="3" t="inlineStr">
        <is>
          <t>ITC 1969 상 NT ≥ 0.30·GT — GT 3,300톤이면 하한 990톤. 1,200톤 = 0.36·GT (확정값은 국제톤수증서 필요)</t>
        </is>
      </c>
    </row>
    <row r="103">
      <c r="B103" s="11" t="inlineStr">
        <is>
          <t>세무</t>
        </is>
      </c>
      <c r="C103" s="11" t="inlineStr">
        <is>
          <t>연간 운항일수</t>
        </is>
      </c>
      <c r="D103" s="104" t="n">
        <v>300</v>
      </c>
      <c r="E103" s="9" t="inlineStr">
        <is>
          <t>일</t>
        </is>
      </c>
      <c r="F103" s="3" t="inlineStr">
        <is>
          <t>톤세 의제이익 = 순톤수 구간요율 × 운항일수</t>
        </is>
      </c>
    </row>
    <row r="104">
      <c r="B104" s="11" t="inlineStr">
        <is>
          <t>차입</t>
        </is>
      </c>
      <c r="C104" s="11" t="inlineStr">
        <is>
          <t>엔화대출 1.56% 적용</t>
        </is>
      </c>
      <c r="D104" s="109" t="inlineStr">
        <is>
          <t>X</t>
        </is>
      </c>
      <c r="E104" s="9" t="inlineStr">
        <is>
          <t>O/X</t>
        </is>
      </c>
      <c r="F104" s="3" t="inlineStr">
        <is>
          <t>O면 위 D54 이자율을 1.56%로 고정. 헤럴드경제 2026.09.11 — 팬스타 미라클이 달러 대출(3.80%)을 엔화로 전환 https://biz.heraldcorp.com/article/10870359</t>
        </is>
      </c>
    </row>
    <row r="105">
      <c r="B105" s="11" t="inlineStr">
        <is>
          <t>수지</t>
        </is>
      </c>
      <c r="C105" s="11" t="inlineStr">
        <is>
          <t>10년 수리비 — 첫해 금액</t>
        </is>
      </c>
      <c r="D105" s="104" t="n">
        <v>700</v>
      </c>
      <c r="E105" s="9" t="inlineStr">
        <is>
          <t>백만원</t>
        </is>
      </c>
      <c r="F105" s="3" t="inlineStr">
        <is>
          <t>단일연도 손익계산서에는 미반영 · 10개년에서만 운항기타에 들어간다</t>
        </is>
      </c>
    </row>
    <row r="106">
      <c r="B106" s="11" t="inlineStr">
        <is>
          <t>수지</t>
        </is>
      </c>
      <c r="C106" s="11" t="inlineStr">
        <is>
          <t>우발 수리유보금 — 첫해 금액</t>
        </is>
      </c>
      <c r="D106" s="104" t="n">
        <v>700</v>
      </c>
      <c r="E106" s="9" t="inlineStr">
        <is>
          <t>백만원</t>
        </is>
      </c>
      <c r="F106" s="3" t="inlineStr">
        <is>
          <t>매년 정액 적립 · 손익이 아니라 수지에서만 차감</t>
        </is>
      </c>
    </row>
    <row r="107">
      <c r="B107" s="11" t="inlineStr">
        <is>
          <t>수지</t>
        </is>
      </c>
      <c r="C107" s="11" t="inlineStr">
        <is>
          <t>우발 수리유보금 증감률</t>
        </is>
      </c>
      <c r="D107" s="129" t="n">
        <v>0</v>
      </c>
      <c r="E107" s="9" t="inlineStr">
        <is>
          <t>%/년</t>
        </is>
      </c>
      <c r="F107" s="3" t="inlineStr"/>
    </row>
    <row r="108">
      <c r="B108" s="11" t="inlineStr">
        <is>
          <t>수지</t>
        </is>
      </c>
      <c r="C108" s="11" t="inlineStr">
        <is>
          <t>선박 대체 유보금 (선가 대비)</t>
        </is>
      </c>
      <c r="D108" s="129" t="n">
        <v>0.2</v>
      </c>
      <c r="E108" s="9" t="inlineStr">
        <is>
          <t>%</t>
        </is>
      </c>
      <c r="F108" s="3" t="inlineStr">
        <is>
          <t>연 적립액 = 선가(D50) × 이 비율 ÷ 내용연수(D51) = 50,000 × 20% ÷ 15 ≈ 667백만/년</t>
        </is>
      </c>
    </row>
    <row r="109">
      <c r="B109" s="11" t="inlineStr">
        <is>
          <t>수지</t>
        </is>
      </c>
      <c r="C109" s="11" t="inlineStr">
        <is>
          <t>선박 대체 유보금 증감률</t>
        </is>
      </c>
      <c r="D109" s="129" t="n">
        <v>0</v>
      </c>
      <c r="E109" s="9" t="inlineStr">
        <is>
          <t>%/년</t>
        </is>
      </c>
      <c r="F109" s="3" t="inlineStr"/>
    </row>
    <row r="110">
      <c r="B110" s="3" t="inlineStr">
        <is>
          <t>E 수지 네 줄(10년 수리비 제외)은 회계상 비용이 아니라 수지에서만 빠진다 — 대조선박_손익 6. CFADS 에서 쓴다.</t>
        </is>
      </c>
    </row>
  </sheetData>
  <dataValidations count="4">
    <dataValidation sqref="D18 D30:D36 D49 D59 D101 D104" showDropDown="0" showInputMessage="0" showErrorMessage="0" allowBlank="0" type="list">
      <formula1>"O,X"</formula1>
      <formula2>0</formula2>
    </dataValidation>
    <dataValidation sqref="E30:E36" showDropDown="0" showInputMessage="0" showErrorMessage="0" allowBlank="0" type="list">
      <formula1>"고정,준변동,변동"</formula1>
      <formula2>0</formula2>
    </dataValidation>
    <dataValidation sqref="D57" showDropDown="0" showInputMessage="0" showErrorMessage="0" allowBlank="0" type="list">
      <formula1>"원리금균등,원금균등,만기일시"</formula1>
      <formula2>0</formula2>
    </dataValidation>
    <dataValidation sqref="D67" showDropDown="0" showInputMessage="0" showErrorMessage="0" allowBlank="0" type="list">
      <formula1>"1,2,3,4,5"</formula1>
      <formula2>0</formula2>
    </dataValidation>
  </dataValidations>
  <pageMargins left="0.75" right="0.75" top="1" bottom="1" header="0.511811023622047" footer="0.511811023622047"/>
  <pageSetup orientation="landscape" fitToHeight="0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1:K72"/>
  <sheetViews>
    <sheetView zoomScale="85" zoomScaleNormal="85" workbookViewId="0">
      <pane xSplit="3" ySplit="4" topLeftCell="D25" activePane="bottomRight" state="frozen"/>
      <selection pane="topRight" activeCell="D1" sqref="D1"/>
      <selection pane="bottomLeft" activeCell="A5" sqref="A5"/>
      <selection pane="bottomRight" activeCell="B19" sqref="B19:B23"/>
    </sheetView>
  </sheetViews>
  <sheetFormatPr baseColWidth="8" defaultColWidth="8.7109375" defaultRowHeight="15"/>
  <cols>
    <col width="2" customWidth="1" min="1" max="1"/>
    <col width="8" customWidth="1" min="2" max="2"/>
    <col width="40" customWidth="1" min="3" max="3"/>
    <col width="18" customWidth="1" min="4" max="4"/>
    <col width="10" customWidth="1" min="5" max="6"/>
    <col width="18" customWidth="1" min="7" max="7"/>
    <col width="10" customWidth="1" min="8" max="9"/>
    <col width="17" customWidth="1" min="10" max="10"/>
    <col width="44" customWidth="1" min="11" max="11"/>
  </cols>
  <sheetData>
    <row r="1" ht="26.25" customHeight="1">
      <c r="B1" s="2" t="inlineStr">
        <is>
          <t>손익계산서 — 주식회사 대저페리 제3기 (2024.01.01 ~ 2024.12.31) 감사보고서 원본</t>
        </is>
      </c>
    </row>
    <row r="2">
      <c r="B2" s="21" t="inlineStr">
        <is>
          <t>(단위: 원) · 제2기(2023)는 감사받지 아니한 수치 · [주석15]/[차액]/[가정치]/[보완] 행은 보고서 손익계산서 지면에는 없는 행</t>
        </is>
      </c>
    </row>
    <row r="4">
      <c r="B4" s="122" t="inlineStr">
        <is>
          <t>구분</t>
        </is>
      </c>
      <c r="C4" s="122" t="inlineStr">
        <is>
          <t>과 목</t>
        </is>
      </c>
      <c r="D4" s="122" t="inlineStr">
        <is>
          <t>제3(당)기 2024</t>
        </is>
      </c>
      <c r="E4" s="122" t="inlineStr">
        <is>
          <t>구성비</t>
        </is>
      </c>
      <c r="F4" s="122" t="inlineStr">
        <is>
          <t>매출 대비</t>
        </is>
      </c>
      <c r="G4" s="122" t="inlineStr">
        <is>
          <t>제2(전)기 2023</t>
        </is>
      </c>
      <c r="H4" s="122" t="inlineStr">
        <is>
          <t>구성비</t>
        </is>
      </c>
      <c r="I4" s="122" t="inlineStr">
        <is>
          <t>매출 대비</t>
        </is>
      </c>
      <c r="J4" s="122" t="inlineStr">
        <is>
          <t>증감</t>
        </is>
      </c>
      <c r="K4" s="122" t="inlineStr">
        <is>
          <t>비고 · 출처</t>
        </is>
      </c>
    </row>
    <row r="5">
      <c r="B5" s="32" t="inlineStr">
        <is>
          <t>항목</t>
        </is>
      </c>
      <c r="C5" s="7" t="inlineStr">
        <is>
          <t>Ⅰ.매출액</t>
        </is>
      </c>
      <c r="D5" s="131">
        <f>SUM(D6:D9)</f>
        <v/>
      </c>
      <c r="E5" s="34" t="n"/>
      <c r="F5" s="132">
        <f>IF(D5="","",D5/D$5)</f>
        <v/>
      </c>
      <c r="G5" s="131">
        <f>SUM(G6:G9)</f>
        <v/>
      </c>
      <c r="H5" s="34" t="n"/>
      <c r="I5" s="132">
        <f>IF(G5="","",G5/G$5)</f>
        <v/>
      </c>
      <c r="J5" s="133">
        <f>IF(OR(D5="",G5=""),"",D5-G5)</f>
        <v/>
      </c>
      <c r="K5" s="11" t="inlineStr">
        <is>
          <t>보고서 13,146,609,166</t>
        </is>
      </c>
    </row>
    <row r="6">
      <c r="B6" s="37" t="inlineStr">
        <is>
          <t>세부</t>
        </is>
      </c>
      <c r="C6" s="38" t="inlineStr">
        <is>
          <t>여객수입</t>
        </is>
      </c>
      <c r="D6" s="134" t="n">
        <v>12813966995</v>
      </c>
      <c r="E6" s="135">
        <f>IF(OR(D6="",D5=0),"",D6/D5)</f>
        <v/>
      </c>
      <c r="F6" s="135">
        <f>IF(D6="","",D6/D$5)</f>
        <v/>
      </c>
      <c r="G6" s="134" t="n">
        <v>5527657183</v>
      </c>
      <c r="H6" s="135">
        <f>IF(OR(G6="",G5=0),"",G6/G5)</f>
        <v/>
      </c>
      <c r="I6" s="135">
        <f>IF(G6="","",G6/G$5)</f>
        <v/>
      </c>
      <c r="J6" s="134">
        <f>IF(OR(D6="",G6=""),"",D6-G6)</f>
        <v/>
      </c>
      <c r="K6" s="11" t="n"/>
    </row>
    <row r="7">
      <c r="B7" s="37" t="inlineStr">
        <is>
          <t>세부</t>
        </is>
      </c>
      <c r="C7" s="38" t="inlineStr">
        <is>
          <t>화물수입</t>
        </is>
      </c>
      <c r="D7" s="134" t="n">
        <v>323042171</v>
      </c>
      <c r="E7" s="135">
        <f>IF(OR(D7="",D5=0),"",D7/D5)</f>
        <v/>
      </c>
      <c r="F7" s="135">
        <f>IF(D7="","",D7/D$5)</f>
        <v/>
      </c>
      <c r="G7" s="134" t="n">
        <v>52186526</v>
      </c>
      <c r="H7" s="135">
        <f>IF(OR(G7="",G5=0),"",G7/G5)</f>
        <v/>
      </c>
      <c r="I7" s="135">
        <f>IF(G7="","",G7/G$5)</f>
        <v/>
      </c>
      <c r="J7" s="134">
        <f>IF(OR(D7="",G7=""),"",D7-G7)</f>
        <v/>
      </c>
      <c r="K7" s="11" t="n"/>
    </row>
    <row r="8">
      <c r="B8" s="37" t="inlineStr">
        <is>
          <t>세부</t>
        </is>
      </c>
      <c r="C8" s="38" t="inlineStr">
        <is>
          <t>임대료수입</t>
        </is>
      </c>
      <c r="D8" s="134" t="n">
        <v>9600000</v>
      </c>
      <c r="E8" s="135">
        <f>IF(OR(D8="",D5=0),"",D8/D5)</f>
        <v/>
      </c>
      <c r="F8" s="135">
        <f>IF(D8="","",D8/D$5)</f>
        <v/>
      </c>
      <c r="G8" s="134" t="n">
        <v>5732600</v>
      </c>
      <c r="H8" s="135">
        <f>IF(OR(G8="",G5=0),"",G8/G5)</f>
        <v/>
      </c>
      <c r="I8" s="135">
        <f>IF(G8="","",G8/G$5)</f>
        <v/>
      </c>
      <c r="J8" s="134">
        <f>IF(OR(D8="",G8=""),"",D8-G8)</f>
        <v/>
      </c>
      <c r="K8" s="11" t="n"/>
    </row>
    <row r="9">
      <c r="B9" s="37" t="inlineStr">
        <is>
          <t>세부</t>
        </is>
      </c>
      <c r="C9" s="38" t="inlineStr">
        <is>
          <t>기타수입</t>
        </is>
      </c>
      <c r="D9" s="134" t="n"/>
      <c r="E9" s="135">
        <f>IF(OR(D9="",D5=0),"",D9/D5)</f>
        <v/>
      </c>
      <c r="F9" s="135">
        <f>IF(D9="","",D9/D$5)</f>
        <v/>
      </c>
      <c r="G9" s="134" t="n">
        <v>10909091</v>
      </c>
      <c r="H9" s="135">
        <f>IF(OR(G9="",G5=0),"",G9/G5)</f>
        <v/>
      </c>
      <c r="I9" s="135">
        <f>IF(G9="","",G9/G$5)</f>
        <v/>
      </c>
      <c r="J9" s="134">
        <f>IF(OR(D9="",G9=""),"",D9-G9)</f>
        <v/>
      </c>
      <c r="K9" s="11" t="n"/>
    </row>
    <row r="10">
      <c r="B10" s="32" t="inlineStr">
        <is>
          <t>항목</t>
        </is>
      </c>
      <c r="C10" s="7" t="inlineStr">
        <is>
          <t>Ⅱ.매출원가</t>
        </is>
      </c>
      <c r="D10" s="131">
        <f>D11</f>
        <v/>
      </c>
      <c r="E10" s="34" t="n"/>
      <c r="F10" s="132">
        <f>IF(D10="","",D10/D$5)</f>
        <v/>
      </c>
      <c r="G10" s="131">
        <f>G11</f>
        <v/>
      </c>
      <c r="H10" s="34" t="n"/>
      <c r="I10" s="132">
        <f>IF(G10="","",G10/G$5)</f>
        <v/>
      </c>
      <c r="J10" s="133">
        <f>IF(OR(D10="",G10=""),"",D10-G10)</f>
        <v/>
      </c>
      <c r="K10" s="11" t="inlineStr">
        <is>
          <t>보고서 12,246,808,749</t>
        </is>
      </c>
    </row>
    <row r="11">
      <c r="B11" s="37" t="inlineStr">
        <is>
          <t>세부</t>
        </is>
      </c>
      <c r="C11" s="38" t="inlineStr">
        <is>
          <t>운항원가</t>
        </is>
      </c>
      <c r="D11" s="134" t="n">
        <v>12246808749</v>
      </c>
      <c r="E11" s="135">
        <f>IF(OR(D11="",D10=0),"",D11/D10)</f>
        <v/>
      </c>
      <c r="F11" s="135">
        <f>IF(D11="","",D11/D$5)</f>
        <v/>
      </c>
      <c r="G11" s="134" t="n">
        <v>6725627421</v>
      </c>
      <c r="H11" s="135">
        <f>IF(OR(G11="",G10=0),"",G11/G10)</f>
        <v/>
      </c>
      <c r="I11" s="135">
        <f>IF(G11="","",G11/G$5)</f>
        <v/>
      </c>
      <c r="J11" s="134">
        <f>IF(OR(D11="",G11=""),"",D11-G11)</f>
        <v/>
      </c>
      <c r="K11" s="11" t="n"/>
    </row>
    <row r="12">
      <c r="B12" s="37" t="inlineStr">
        <is>
          <t>주석15</t>
        </is>
      </c>
      <c r="C12" s="41" t="inlineStr">
        <is>
          <t>급여</t>
        </is>
      </c>
      <c r="D12" s="134">
        <f>주석_보조자료!$D$6*1000</f>
        <v/>
      </c>
      <c r="E12" s="135">
        <f>IF(OR(D12="",D10=0),"",D12/D10)</f>
        <v/>
      </c>
      <c r="F12" s="135">
        <f>IF(D12="","",D12/D$5)</f>
        <v/>
      </c>
      <c r="G12" s="134">
        <f>IF(주석_보조자료!$G$6=0,"",주석_보조자료!$G$6*1000)</f>
        <v/>
      </c>
      <c r="H12" s="135">
        <f>IF(OR(G12="",G10=0),"",G12/G10)</f>
        <v/>
      </c>
      <c r="I12" s="135">
        <f>IF(G12="","",G12/G$5)</f>
        <v/>
      </c>
      <c r="J12" s="134">
        <f>IF(OR(D12="",G12=""),"",D12-G12)</f>
        <v/>
      </c>
      <c r="K12" s="9" t="inlineStr">
        <is>
          <t>[주석15] 운항원가 열 × 1,000</t>
        </is>
      </c>
    </row>
    <row r="13">
      <c r="B13" s="37" t="inlineStr">
        <is>
          <t>주석15</t>
        </is>
      </c>
      <c r="C13" s="41" t="inlineStr">
        <is>
          <t>퇴직급여</t>
        </is>
      </c>
      <c r="D13" s="134">
        <f>주석_보조자료!$D$7*1000</f>
        <v/>
      </c>
      <c r="E13" s="135">
        <f>IF(OR(D13="",D10=0),"",D13/D10)</f>
        <v/>
      </c>
      <c r="F13" s="135">
        <f>IF(D13="","",D13/D$5)</f>
        <v/>
      </c>
      <c r="G13" s="134">
        <f>IF(주석_보조자료!$G$7=0,"",주석_보조자료!$G$7*1000)</f>
        <v/>
      </c>
      <c r="H13" s="135">
        <f>IF(OR(G13="",G10=0),"",G13/G10)</f>
        <v/>
      </c>
      <c r="I13" s="135">
        <f>IF(G13="","",G13/G$5)</f>
        <v/>
      </c>
      <c r="J13" s="134">
        <f>IF(OR(D13="",G13=""),"",D13-G13)</f>
        <v/>
      </c>
      <c r="K13" s="9" t="inlineStr">
        <is>
          <t>[주석15]</t>
        </is>
      </c>
    </row>
    <row r="14">
      <c r="B14" s="37" t="inlineStr">
        <is>
          <t>주석15</t>
        </is>
      </c>
      <c r="C14" s="41" t="inlineStr">
        <is>
          <t>복리후생비</t>
        </is>
      </c>
      <c r="D14" s="134">
        <f>주석_보조자료!$D$8*1000</f>
        <v/>
      </c>
      <c r="E14" s="135">
        <f>IF(OR(D14="",D10=0),"",D14/D10)</f>
        <v/>
      </c>
      <c r="F14" s="135">
        <f>IF(D14="","",D14/D$5)</f>
        <v/>
      </c>
      <c r="G14" s="134">
        <f>IF(주석_보조자료!$G$8=0,"",주석_보조자료!$G$8*1000)</f>
        <v/>
      </c>
      <c r="H14" s="135">
        <f>IF(OR(G14="",G10=0),"",G14/G10)</f>
        <v/>
      </c>
      <c r="I14" s="135">
        <f>IF(G14="","",G14/G$5)</f>
        <v/>
      </c>
      <c r="J14" s="134">
        <f>IF(OR(D14="",G14=""),"",D14-G14)</f>
        <v/>
      </c>
      <c r="K14" s="9" t="inlineStr">
        <is>
          <t>[주석15]</t>
        </is>
      </c>
    </row>
    <row r="15">
      <c r="B15" s="37" t="inlineStr">
        <is>
          <t>주석15</t>
        </is>
      </c>
      <c r="C15" s="41" t="inlineStr">
        <is>
          <t>감가상각비</t>
        </is>
      </c>
      <c r="D15" s="134">
        <f>주석_보조자료!$D$10*1000</f>
        <v/>
      </c>
      <c r="E15" s="135">
        <f>IF(OR(D15="",D10=0),"",D15/D10)</f>
        <v/>
      </c>
      <c r="F15" s="135">
        <f>IF(D15="","",D15/D$5)</f>
        <v/>
      </c>
      <c r="G15" s="134">
        <f>IF(주석_보조자료!$G$10=0,"",주석_보조자료!$G$10*1000)</f>
        <v/>
      </c>
      <c r="H15" s="135">
        <f>IF(OR(G15="",G10=0),"",G15/G10)</f>
        <v/>
      </c>
      <c r="I15" s="135">
        <f>IF(G15="","",G15/G$5)</f>
        <v/>
      </c>
      <c r="J15" s="134">
        <f>IF(OR(D15="",G15=""),"",D15-G15)</f>
        <v/>
      </c>
      <c r="K15" s="9" t="inlineStr">
        <is>
          <t>[주석15] 선가 670억 · 20년 정액</t>
        </is>
      </c>
    </row>
    <row r="16">
      <c r="B16" s="37" t="inlineStr">
        <is>
          <t>주석15</t>
        </is>
      </c>
      <c r="C16" s="41" t="inlineStr">
        <is>
          <t>세금과공과</t>
        </is>
      </c>
      <c r="D16" s="134">
        <f>주석_보조자료!$D$11*1000</f>
        <v/>
      </c>
      <c r="E16" s="135">
        <f>IF(OR(D16="",D10=0),"",D16/D10)</f>
        <v/>
      </c>
      <c r="F16" s="135">
        <f>IF(D16="","",D16/D$5)</f>
        <v/>
      </c>
      <c r="G16" s="134">
        <f>IF(주석_보조자료!$G$11=0,"",주석_보조자료!$G$11*1000)</f>
        <v/>
      </c>
      <c r="H16" s="135">
        <f>IF(OR(G16="",G10=0),"",G16/G10)</f>
        <v/>
      </c>
      <c r="I16" s="135">
        <f>IF(G16="","",G16/G$5)</f>
        <v/>
      </c>
      <c r="J16" s="134">
        <f>IF(OR(D16="",G16=""),"",D16-G16)</f>
        <v/>
      </c>
      <c r="K16" s="9" t="inlineStr">
        <is>
          <t>[주석15]</t>
        </is>
      </c>
    </row>
    <row r="17">
      <c r="B17" s="37" t="inlineStr">
        <is>
          <t>주석15</t>
        </is>
      </c>
      <c r="C17" s="41" t="inlineStr">
        <is>
          <t>임차료</t>
        </is>
      </c>
      <c r="D17" s="134">
        <f>주석_보조자료!$D$12*1000</f>
        <v/>
      </c>
      <c r="E17" s="135">
        <f>IF(OR(D17="",D10=0),"",D17/D10)</f>
        <v/>
      </c>
      <c r="F17" s="135">
        <f>IF(D17="","",D17/D$5)</f>
        <v/>
      </c>
      <c r="G17" s="134">
        <f>IF(주석_보조자료!$G$12=0,"",주석_보조자료!$G$12*1000)</f>
        <v/>
      </c>
      <c r="H17" s="135">
        <f>IF(OR(G17="",G10=0),"",G17/G10)</f>
        <v/>
      </c>
      <c r="I17" s="135">
        <f>IF(G17="","",G17/G$5)</f>
        <v/>
      </c>
      <c r="J17" s="134">
        <f>IF(OR(D17="",G17=""),"",D17-G17)</f>
        <v/>
      </c>
      <c r="K17" s="9" t="inlineStr">
        <is>
          <t>[주석15] 전기 "-"</t>
        </is>
      </c>
    </row>
    <row r="18">
      <c r="B18" s="37" t="inlineStr">
        <is>
          <t>주석15</t>
        </is>
      </c>
      <c r="C18" s="41" t="inlineStr">
        <is>
          <t>운항기타(항비,연료비,기타 잡비)</t>
        </is>
      </c>
      <c r="D18" s="134">
        <f>D11-SUM(D12:D17)</f>
        <v/>
      </c>
      <c r="E18" s="135">
        <f>IF(OR(D18="",D10=0),"",D18/D10)</f>
        <v/>
      </c>
      <c r="F18" s="135">
        <f>IF(D18="","",D18/D$5)</f>
        <v/>
      </c>
      <c r="G18" s="134">
        <f>G11-SUM(G12:G17)</f>
        <v/>
      </c>
      <c r="H18" s="135">
        <f>IF(OR(G18="",G10=0),"",G18/G10)</f>
        <v/>
      </c>
      <c r="I18" s="135">
        <f>IF(G18="","",G18/G$5)</f>
        <v/>
      </c>
      <c r="J18" s="134">
        <f>IF(OR(D18="",G18=""),"",D18-G18)</f>
        <v/>
      </c>
      <c r="K18" s="9" t="inlineStr">
        <is>
          <t>[차액] 운항원가 − 위 6줄 (반올림 흡수)</t>
        </is>
      </c>
    </row>
    <row r="19">
      <c r="B19" s="117" t="inlineStr">
        <is>
          <t>가정치</t>
        </is>
      </c>
      <c r="C19" s="42" t="inlineStr">
        <is>
          <t>· 연료비</t>
        </is>
      </c>
      <c r="D19" s="134">
        <f>IFERROR(D18*설정값!$D$23/(설정값!$D$23+설정값!$D$24+설정값!$D$25+설정값!$D$26+설정값!$D$27),0)</f>
        <v/>
      </c>
      <c r="E19" s="135">
        <f>IF(OR(D19="",D10=0),"",D19/D10)</f>
        <v/>
      </c>
      <c r="F19" s="135">
        <f>IF(D19="","",D19/D$5)</f>
        <v/>
      </c>
      <c r="G19" s="134" t="n"/>
      <c r="H19" s="11" t="n"/>
      <c r="I19" s="11" t="n"/>
      <c r="J19" s="11" t="n"/>
      <c r="K19" s="9" t="inlineStr">
        <is>
          <t>[가정치] 운항기타 × 세목 비율 (설정값 A-2)</t>
        </is>
      </c>
    </row>
    <row r="20">
      <c r="B20" s="117" t="inlineStr">
        <is>
          <t>가정치</t>
        </is>
      </c>
      <c r="C20" s="42" t="inlineStr">
        <is>
          <t>· 항비</t>
        </is>
      </c>
      <c r="D20" s="134">
        <f>IFERROR(D18*설정값!$D$24/(설정값!$D$23+설정값!$D$24+설정값!$D$25+설정값!$D$26+설정값!$D$27),0)</f>
        <v/>
      </c>
      <c r="E20" s="135">
        <f>IF(OR(D20="",D10=0),"",D20/D10)</f>
        <v/>
      </c>
      <c r="F20" s="135">
        <f>IF(D20="","",D20/D$5)</f>
        <v/>
      </c>
      <c r="G20" s="134" t="n"/>
      <c r="H20" s="11" t="n"/>
      <c r="I20" s="11" t="n"/>
      <c r="J20" s="11" t="n"/>
      <c r="K20" s="9" t="inlineStr">
        <is>
          <t>[가정치]</t>
        </is>
      </c>
    </row>
    <row r="21">
      <c r="B21" s="117" t="inlineStr">
        <is>
          <t>가정치</t>
        </is>
      </c>
      <c r="C21" s="42" t="inlineStr">
        <is>
          <t>· 보험료</t>
        </is>
      </c>
      <c r="D21" s="134">
        <f>IFERROR(D18*설정값!$D$25/(설정값!$D$23+설정값!$D$24+설정값!$D$25+설정값!$D$26+설정값!$D$27),0)</f>
        <v/>
      </c>
      <c r="E21" s="135">
        <f>IF(OR(D21="",D10=0),"",D21/D10)</f>
        <v/>
      </c>
      <c r="F21" s="135">
        <f>IF(D21="","",D21/D$5)</f>
        <v/>
      </c>
      <c r="G21" s="134" t="n"/>
      <c r="H21" s="11" t="n"/>
      <c r="I21" s="11" t="n"/>
      <c r="J21" s="11" t="n"/>
      <c r="K21" s="9" t="inlineStr">
        <is>
          <t>[가정치]</t>
        </is>
      </c>
    </row>
    <row r="22">
      <c r="B22" s="117" t="inlineStr">
        <is>
          <t>가정치</t>
        </is>
      </c>
      <c r="C22" s="42" t="inlineStr">
        <is>
          <t>· 수리비</t>
        </is>
      </c>
      <c r="D22" s="134">
        <f>IFERROR(D18*설정값!$D$26/(설정값!$D$23+설정값!$D$24+설정값!$D$25+설정값!$D$26+설정값!$D$27),0)</f>
        <v/>
      </c>
      <c r="E22" s="135">
        <f>IF(OR(D22="",D10=0),"",D22/D10)</f>
        <v/>
      </c>
      <c r="F22" s="135">
        <f>IF(D22="","",D22/D$5)</f>
        <v/>
      </c>
      <c r="G22" s="134" t="n"/>
      <c r="H22" s="11" t="n"/>
      <c r="I22" s="11" t="n"/>
      <c r="J22" s="11" t="n"/>
      <c r="K22" s="9" t="inlineStr">
        <is>
          <t>[가정치]</t>
        </is>
      </c>
    </row>
    <row r="23">
      <c r="B23" s="117" t="inlineStr">
        <is>
          <t>가정치</t>
        </is>
      </c>
      <c r="C23" s="42" t="inlineStr">
        <is>
          <t>· 선용품비</t>
        </is>
      </c>
      <c r="D23" s="134">
        <f>IFERROR(D18*설정값!$D$27/(설정값!$D$23+설정값!$D$24+설정값!$D$25+설정값!$D$26+설정값!$D$27),0)</f>
        <v/>
      </c>
      <c r="E23" s="135">
        <f>IF(OR(D23="",D10=0),"",D23/D10)</f>
        <v/>
      </c>
      <c r="F23" s="135">
        <f>IF(D23="","",D23/D$5)</f>
        <v/>
      </c>
      <c r="G23" s="134" t="n"/>
      <c r="H23" s="11" t="n"/>
      <c r="I23" s="11" t="n"/>
      <c r="J23" s="11" t="n"/>
      <c r="K23" s="9" t="inlineStr">
        <is>
          <t>[가정치]</t>
        </is>
      </c>
    </row>
    <row r="24">
      <c r="B24" s="32" t="inlineStr">
        <is>
          <t>소계</t>
        </is>
      </c>
      <c r="C24" s="7" t="inlineStr">
        <is>
          <t>Ⅲ.매출총이익(손실)</t>
        </is>
      </c>
      <c r="D24" s="131">
        <f>D5-D10</f>
        <v/>
      </c>
      <c r="E24" s="34" t="n"/>
      <c r="F24" s="132">
        <f>IF(D24="","",D24/D$5)</f>
        <v/>
      </c>
      <c r="G24" s="131">
        <f>G5-G10</f>
        <v/>
      </c>
      <c r="H24" s="34" t="n"/>
      <c r="I24" s="132">
        <f>IF(G24="","",G24/G$5)</f>
        <v/>
      </c>
      <c r="J24" s="133">
        <f>IF(OR(D24="",G24=""),"",D24-G24)</f>
        <v/>
      </c>
      <c r="K24" s="11" t="inlineStr">
        <is>
          <t>보고서 899,800,417</t>
        </is>
      </c>
    </row>
    <row r="25">
      <c r="B25" s="32" t="inlineStr">
        <is>
          <t>항목</t>
        </is>
      </c>
      <c r="C25" s="7" t="inlineStr">
        <is>
          <t>Ⅳ.판매비와관리비(주15)</t>
        </is>
      </c>
      <c r="D25" s="131">
        <f>SUM(D26:D44)</f>
        <v/>
      </c>
      <c r="E25" s="34" t="n"/>
      <c r="F25" s="132">
        <f>IF(D25="","",D25/D$5)</f>
        <v/>
      </c>
      <c r="G25" s="131">
        <f>SUM(G26:G44)</f>
        <v/>
      </c>
      <c r="H25" s="34" t="n"/>
      <c r="I25" s="132">
        <f>IF(G25="","",G25/G$5)</f>
        <v/>
      </c>
      <c r="J25" s="133">
        <f>IF(OR(D25="",G25=""),"",D25-G25)</f>
        <v/>
      </c>
      <c r="K25" s="11" t="inlineStr">
        <is>
          <t>보고서 2,979,322,526</t>
        </is>
      </c>
    </row>
    <row r="26">
      <c r="B26" s="37" t="inlineStr">
        <is>
          <t>세부</t>
        </is>
      </c>
      <c r="C26" s="38" t="inlineStr">
        <is>
          <t>직원급여</t>
        </is>
      </c>
      <c r="D26" s="134" t="n">
        <v>1822878650</v>
      </c>
      <c r="E26" s="135">
        <f>IF(OR(D26="",D25=0),"",D26/D25)</f>
        <v/>
      </c>
      <c r="F26" s="135">
        <f>IF(D26="","",D26/D$5)</f>
        <v/>
      </c>
      <c r="G26" s="134" t="n">
        <v>925393401</v>
      </c>
      <c r="H26" s="135">
        <f>IF(OR(G26="",G25=0),"",G26/G25)</f>
        <v/>
      </c>
      <c r="I26" s="135">
        <f>IF(G26="","",G26/G$5)</f>
        <v/>
      </c>
      <c r="J26" s="134">
        <f>IF(OR(D26="",G26=""),"",D26-G26)</f>
        <v/>
      </c>
      <c r="K26" s="11" t="n"/>
    </row>
    <row r="27">
      <c r="B27" s="37" t="inlineStr">
        <is>
          <t>세부</t>
        </is>
      </c>
      <c r="C27" s="38" t="inlineStr">
        <is>
          <t>퇴직급여</t>
        </is>
      </c>
      <c r="D27" s="134" t="n">
        <v>152420193</v>
      </c>
      <c r="E27" s="135">
        <f>IF(OR(D27="",D25=0),"",D27/D25)</f>
        <v/>
      </c>
      <c r="F27" s="135">
        <f>IF(D27="","",D27/D$5)</f>
        <v/>
      </c>
      <c r="G27" s="134" t="n">
        <v>47090190</v>
      </c>
      <c r="H27" s="135">
        <f>IF(OR(G27="",G25=0),"",G27/G25)</f>
        <v/>
      </c>
      <c r="I27" s="135">
        <f>IF(G27="","",G27/G$5)</f>
        <v/>
      </c>
      <c r="J27" s="134">
        <f>IF(OR(D27="",G27=""),"",D27-G27)</f>
        <v/>
      </c>
      <c r="K27" s="11" t="n"/>
    </row>
    <row r="28">
      <c r="B28" s="37" t="inlineStr">
        <is>
          <t>세부</t>
        </is>
      </c>
      <c r="C28" s="38" t="inlineStr">
        <is>
          <t>복리후생비</t>
        </is>
      </c>
      <c r="D28" s="134" t="n">
        <v>147553407</v>
      </c>
      <c r="E28" s="135">
        <f>IF(OR(D28="",D25=0),"",D28/D25)</f>
        <v/>
      </c>
      <c r="F28" s="135">
        <f>IF(D28="","",D28/D$5)</f>
        <v/>
      </c>
      <c r="G28" s="134" t="n">
        <v>149856057</v>
      </c>
      <c r="H28" s="135">
        <f>IF(OR(G28="",G25=0),"",G28/G25)</f>
        <v/>
      </c>
      <c r="I28" s="135">
        <f>IF(G28="","",G28/G$5)</f>
        <v/>
      </c>
      <c r="J28" s="134">
        <f>IF(OR(D28="",G28=""),"",D28-G28)</f>
        <v/>
      </c>
      <c r="K28" s="11" t="n"/>
    </row>
    <row r="29">
      <c r="B29" s="37" t="inlineStr">
        <is>
          <t>세부</t>
        </is>
      </c>
      <c r="C29" s="38" t="inlineStr">
        <is>
          <t>여비교통비</t>
        </is>
      </c>
      <c r="D29" s="134" t="n">
        <v>9246562</v>
      </c>
      <c r="E29" s="135">
        <f>IF(OR(D29="",D25=0),"",D29/D25)</f>
        <v/>
      </c>
      <c r="F29" s="135">
        <f>IF(D29="","",D29/D$5)</f>
        <v/>
      </c>
      <c r="G29" s="134" t="n">
        <v>13978890</v>
      </c>
      <c r="H29" s="135">
        <f>IF(OR(G29="",G25=0),"",G29/G25)</f>
        <v/>
      </c>
      <c r="I29" s="135">
        <f>IF(G29="","",G29/G$5)</f>
        <v/>
      </c>
      <c r="J29" s="134">
        <f>IF(OR(D29="",G29=""),"",D29-G29)</f>
        <v/>
      </c>
      <c r="K29" s="11" t="n"/>
    </row>
    <row r="30">
      <c r="B30" s="37" t="inlineStr">
        <is>
          <t>세부</t>
        </is>
      </c>
      <c r="C30" s="38" t="inlineStr">
        <is>
          <t>접대비</t>
        </is>
      </c>
      <c r="D30" s="134" t="n">
        <v>8802000</v>
      </c>
      <c r="E30" s="135">
        <f>IF(OR(D30="",D25=0),"",D30/D25)</f>
        <v/>
      </c>
      <c r="F30" s="135">
        <f>IF(D30="","",D30/D$5)</f>
        <v/>
      </c>
      <c r="G30" s="134" t="n">
        <v>4574200</v>
      </c>
      <c r="H30" s="135">
        <f>IF(OR(G30="",G25=0),"",G30/G25)</f>
        <v/>
      </c>
      <c r="I30" s="135">
        <f>IF(G30="","",G30/G$5)</f>
        <v/>
      </c>
      <c r="J30" s="134">
        <f>IF(OR(D30="",G30=""),"",D30-G30)</f>
        <v/>
      </c>
      <c r="K30" s="11" t="n"/>
    </row>
    <row r="31">
      <c r="B31" s="37" t="inlineStr">
        <is>
          <t>세부</t>
        </is>
      </c>
      <c r="C31" s="38" t="inlineStr">
        <is>
          <t>통신비</t>
        </is>
      </c>
      <c r="D31" s="134" t="n">
        <v>9364469</v>
      </c>
      <c r="E31" s="135">
        <f>IF(OR(D31="",D25=0),"",D31/D25)</f>
        <v/>
      </c>
      <c r="F31" s="135">
        <f>IF(D31="","",D31/D$5)</f>
        <v/>
      </c>
      <c r="G31" s="134" t="n">
        <v>1820713</v>
      </c>
      <c r="H31" s="135">
        <f>IF(OR(G31="",G25=0),"",G31/G25)</f>
        <v/>
      </c>
      <c r="I31" s="135">
        <f>IF(G31="","",G31/G$5)</f>
        <v/>
      </c>
      <c r="J31" s="134">
        <f>IF(OR(D31="",G31=""),"",D31-G31)</f>
        <v/>
      </c>
      <c r="K31" s="11" t="n"/>
    </row>
    <row r="32">
      <c r="B32" s="37" t="inlineStr">
        <is>
          <t>세부</t>
        </is>
      </c>
      <c r="C32" s="38" t="inlineStr">
        <is>
          <t>수도광열비</t>
        </is>
      </c>
      <c r="D32" s="134" t="n">
        <v>16446116</v>
      </c>
      <c r="E32" s="135">
        <f>IF(OR(D32="",D25=0),"",D32/D25)</f>
        <v/>
      </c>
      <c r="F32" s="135">
        <f>IF(D32="","",D32/D$5)</f>
        <v/>
      </c>
      <c r="G32" s="134" t="n">
        <v>5716101</v>
      </c>
      <c r="H32" s="135">
        <f>IF(OR(G32="",G25=0),"",G32/G25)</f>
        <v/>
      </c>
      <c r="I32" s="135">
        <f>IF(G32="","",G32/G$5)</f>
        <v/>
      </c>
      <c r="J32" s="134">
        <f>IF(OR(D32="",G32=""),"",D32-G32)</f>
        <v/>
      </c>
      <c r="K32" s="11" t="n"/>
    </row>
    <row r="33">
      <c r="B33" s="37" t="inlineStr">
        <is>
          <t>세부</t>
        </is>
      </c>
      <c r="C33" s="38" t="inlineStr">
        <is>
          <t>세금과공과</t>
        </is>
      </c>
      <c r="D33" s="134" t="n">
        <v>62971500</v>
      </c>
      <c r="E33" s="135">
        <f>IF(OR(D33="",D25=0),"",D33/D25)</f>
        <v/>
      </c>
      <c r="F33" s="135">
        <f>IF(D33="","",D33/D$5)</f>
        <v/>
      </c>
      <c r="G33" s="134" t="n">
        <v>28336468</v>
      </c>
      <c r="H33" s="135">
        <f>IF(OR(G33="",G25=0),"",G33/G25)</f>
        <v/>
      </c>
      <c r="I33" s="135">
        <f>IF(G33="","",G33/G$5)</f>
        <v/>
      </c>
      <c r="J33" s="134">
        <f>IF(OR(D33="",G33=""),"",D33-G33)</f>
        <v/>
      </c>
      <c r="K33" s="11" t="n"/>
    </row>
    <row r="34">
      <c r="B34" s="37" t="inlineStr">
        <is>
          <t>세부</t>
        </is>
      </c>
      <c r="C34" s="38" t="inlineStr">
        <is>
          <t>지급임차료</t>
        </is>
      </c>
      <c r="D34" s="134" t="n">
        <v>74136257</v>
      </c>
      <c r="E34" s="135">
        <f>IF(OR(D34="",D25=0),"",D34/D25)</f>
        <v/>
      </c>
      <c r="F34" s="135">
        <f>IF(D34="","",D34/D$5)</f>
        <v/>
      </c>
      <c r="G34" s="134" t="n">
        <v>29850264</v>
      </c>
      <c r="H34" s="135">
        <f>IF(OR(G34="",G25=0),"",G34/G25)</f>
        <v/>
      </c>
      <c r="I34" s="135">
        <f>IF(G34="","",G34/G$5)</f>
        <v/>
      </c>
      <c r="J34" s="134">
        <f>IF(OR(D34="",G34=""),"",D34-G34)</f>
        <v/>
      </c>
      <c r="K34" s="11" t="n"/>
    </row>
    <row r="35">
      <c r="B35" s="37" t="inlineStr">
        <is>
          <t>세부</t>
        </is>
      </c>
      <c r="C35" s="38" t="inlineStr">
        <is>
          <t>수선비</t>
        </is>
      </c>
      <c r="D35" s="134" t="n"/>
      <c r="E35" s="135">
        <f>IF(OR(D35="",D25=0),"",D35/D25)</f>
        <v/>
      </c>
      <c r="F35" s="135">
        <f>IF(D35="","",D35/D$5)</f>
        <v/>
      </c>
      <c r="G35" s="134" t="n">
        <v>5262727</v>
      </c>
      <c r="H35" s="135">
        <f>IF(OR(G35="",G25=0),"",G35/G25)</f>
        <v/>
      </c>
      <c r="I35" s="135">
        <f>IF(G35="","",G35/G$5)</f>
        <v/>
      </c>
      <c r="J35" s="134">
        <f>IF(OR(D35="",G35=""),"",D35-G35)</f>
        <v/>
      </c>
      <c r="K35" s="11" t="n"/>
    </row>
    <row r="36">
      <c r="B36" s="37" t="inlineStr">
        <is>
          <t>세부</t>
        </is>
      </c>
      <c r="C36" s="38" t="inlineStr">
        <is>
          <t>보험료</t>
        </is>
      </c>
      <c r="D36" s="134" t="n">
        <v>7359767</v>
      </c>
      <c r="E36" s="135">
        <f>IF(OR(D36="",D25=0),"",D36/D25)</f>
        <v/>
      </c>
      <c r="F36" s="135">
        <f>IF(D36="","",D36/D$5)</f>
        <v/>
      </c>
      <c r="G36" s="134" t="n">
        <v>5509172</v>
      </c>
      <c r="H36" s="135">
        <f>IF(OR(G36="",G25=0),"",G36/G25)</f>
        <v/>
      </c>
      <c r="I36" s="135">
        <f>IF(G36="","",G36/G$5)</f>
        <v/>
      </c>
      <c r="J36" s="134">
        <f>IF(OR(D36="",G36=""),"",D36-G36)</f>
        <v/>
      </c>
      <c r="K36" s="11" t="n"/>
    </row>
    <row r="37">
      <c r="B37" s="37" t="inlineStr">
        <is>
          <t>세부</t>
        </is>
      </c>
      <c r="C37" s="38" t="inlineStr">
        <is>
          <t>차량유지비</t>
        </is>
      </c>
      <c r="D37" s="134" t="n">
        <v>509000</v>
      </c>
      <c r="E37" s="135">
        <f>IF(OR(D37="",D25=0),"",D37/D25)</f>
        <v/>
      </c>
      <c r="F37" s="135">
        <f>IF(D37="","",D37/D$5)</f>
        <v/>
      </c>
      <c r="G37" s="134" t="n">
        <v>689502</v>
      </c>
      <c r="H37" s="135">
        <f>IF(OR(G37="",G25=0),"",G37/G25)</f>
        <v/>
      </c>
      <c r="I37" s="135">
        <f>IF(G37="","",G37/G$5)</f>
        <v/>
      </c>
      <c r="J37" s="134">
        <f>IF(OR(D37="",G37=""),"",D37-G37)</f>
        <v/>
      </c>
      <c r="K37" s="11" t="n"/>
    </row>
    <row r="38">
      <c r="B38" s="37" t="inlineStr">
        <is>
          <t>세부</t>
        </is>
      </c>
      <c r="C38" s="38" t="inlineStr">
        <is>
          <t>운반비</t>
        </is>
      </c>
      <c r="D38" s="134" t="n">
        <v>513850</v>
      </c>
      <c r="E38" s="135">
        <f>IF(OR(D38="",D25=0),"",D38/D25)</f>
        <v/>
      </c>
      <c r="F38" s="135">
        <f>IF(D38="","",D38/D$5)</f>
        <v/>
      </c>
      <c r="G38" s="134" t="n">
        <v>5006025</v>
      </c>
      <c r="H38" s="135">
        <f>IF(OR(G38="",G25=0),"",G38/G25)</f>
        <v/>
      </c>
      <c r="I38" s="135">
        <f>IF(G38="","",G38/G$5)</f>
        <v/>
      </c>
      <c r="J38" s="134">
        <f>IF(OR(D38="",G38=""),"",D38-G38)</f>
        <v/>
      </c>
      <c r="K38" s="11" t="n"/>
    </row>
    <row r="39">
      <c r="B39" s="37" t="inlineStr">
        <is>
          <t>세부</t>
        </is>
      </c>
      <c r="C39" s="38" t="inlineStr">
        <is>
          <t>교육훈련비</t>
        </is>
      </c>
      <c r="D39" s="134" t="n">
        <v>1199818</v>
      </c>
      <c r="E39" s="135">
        <f>IF(OR(D39="",D25=0),"",D39/D25)</f>
        <v/>
      </c>
      <c r="F39" s="135">
        <f>IF(D39="","",D39/D$5)</f>
        <v/>
      </c>
      <c r="G39" s="134" t="n">
        <v>8262</v>
      </c>
      <c r="H39" s="135">
        <f>IF(OR(G39="",G25=0),"",G39/G25)</f>
        <v/>
      </c>
      <c r="I39" s="135">
        <f>IF(G39="","",G39/G$5)</f>
        <v/>
      </c>
      <c r="J39" s="134">
        <f>IF(OR(D39="",G39=""),"",D39-G39)</f>
        <v/>
      </c>
      <c r="K39" s="11" t="n"/>
    </row>
    <row r="40">
      <c r="B40" s="37" t="inlineStr">
        <is>
          <t>세부</t>
        </is>
      </c>
      <c r="C40" s="38" t="inlineStr">
        <is>
          <t>도서인쇄비</t>
        </is>
      </c>
      <c r="D40" s="134" t="n">
        <v>8368000</v>
      </c>
      <c r="E40" s="135">
        <f>IF(OR(D40="",D25=0),"",D40/D25)</f>
        <v/>
      </c>
      <c r="F40" s="135">
        <f>IF(D40="","",D40/D$5)</f>
        <v/>
      </c>
      <c r="G40" s="134" t="n">
        <v>8484800</v>
      </c>
      <c r="H40" s="135">
        <f>IF(OR(G40="",G25=0),"",G40/G25)</f>
        <v/>
      </c>
      <c r="I40" s="135">
        <f>IF(G40="","",G40/G$5)</f>
        <v/>
      </c>
      <c r="J40" s="134">
        <f>IF(OR(D40="",G40=""),"",D40-G40)</f>
        <v/>
      </c>
      <c r="K40" s="11" t="n"/>
    </row>
    <row r="41">
      <c r="B41" s="37" t="inlineStr">
        <is>
          <t>세부</t>
        </is>
      </c>
      <c r="C41" s="38" t="inlineStr">
        <is>
          <t>소모품비</t>
        </is>
      </c>
      <c r="D41" s="134" t="n">
        <v>9759123</v>
      </c>
      <c r="E41" s="135">
        <f>IF(OR(D41="",D25=0),"",D41/D25)</f>
        <v/>
      </c>
      <c r="F41" s="135">
        <f>IF(D41="","",D41/D$5)</f>
        <v/>
      </c>
      <c r="G41" s="134" t="n">
        <v>87634156</v>
      </c>
      <c r="H41" s="135">
        <f>IF(OR(G41="",G25=0),"",G41/G25)</f>
        <v/>
      </c>
      <c r="I41" s="135">
        <f>IF(G41="","",G41/G$5)</f>
        <v/>
      </c>
      <c r="J41" s="134">
        <f>IF(OR(D41="",G41=""),"",D41-G41)</f>
        <v/>
      </c>
      <c r="K41" s="11" t="n"/>
    </row>
    <row r="42">
      <c r="B42" s="37" t="inlineStr">
        <is>
          <t>세부</t>
        </is>
      </c>
      <c r="C42" s="38" t="inlineStr">
        <is>
          <t>지급수수료</t>
        </is>
      </c>
      <c r="D42" s="134" t="n">
        <v>540820215</v>
      </c>
      <c r="E42" s="135">
        <f>IF(OR(D42="",D25=0),"",D42/D25)</f>
        <v/>
      </c>
      <c r="F42" s="135">
        <f>IF(D42="","",D42/D$5)</f>
        <v/>
      </c>
      <c r="G42" s="134" t="n">
        <v>742503791</v>
      </c>
      <c r="H42" s="135">
        <f>IF(OR(G42="",G25=0),"",G42/G25)</f>
        <v/>
      </c>
      <c r="I42" s="135">
        <f>IF(G42="","",G42/G$5)</f>
        <v/>
      </c>
      <c r="J42" s="134">
        <f>IF(OR(D42="",G42=""),"",D42-G42)</f>
        <v/>
      </c>
      <c r="K42" s="11" t="inlineStr">
        <is>
          <t>판관비 최대 단일 과목</t>
        </is>
      </c>
    </row>
    <row r="43">
      <c r="B43" s="37" t="inlineStr">
        <is>
          <t>세부</t>
        </is>
      </c>
      <c r="C43" s="38" t="inlineStr">
        <is>
          <t>광고선전비</t>
        </is>
      </c>
      <c r="D43" s="134" t="n">
        <v>106973599</v>
      </c>
      <c r="E43" s="135">
        <f>IF(OR(D43="",D25=0),"",D43/D25)</f>
        <v/>
      </c>
      <c r="F43" s="135">
        <f>IF(D43="","",D43/D$5)</f>
        <v/>
      </c>
      <c r="G43" s="134" t="n">
        <v>257024074</v>
      </c>
      <c r="H43" s="135">
        <f>IF(OR(G43="",G25=0),"",G43/G25)</f>
        <v/>
      </c>
      <c r="I43" s="135">
        <f>IF(G43="","",G43/G$5)</f>
        <v/>
      </c>
      <c r="J43" s="134">
        <f>IF(OR(D43="",G43=""),"",D43-G43)</f>
        <v/>
      </c>
      <c r="K43" s="11" t="n"/>
    </row>
    <row r="44">
      <c r="B44" s="37" t="inlineStr">
        <is>
          <t>세부</t>
        </is>
      </c>
      <c r="C44" s="38" t="inlineStr">
        <is>
          <t>잡비</t>
        </is>
      </c>
      <c r="D44" s="134" t="n"/>
      <c r="E44" s="135">
        <f>IF(OR(D44="",D25=0),"",D44/D25)</f>
        <v/>
      </c>
      <c r="F44" s="135">
        <f>IF(D44="","",D44/D$5)</f>
        <v/>
      </c>
      <c r="G44" s="134" t="n">
        <v>843000</v>
      </c>
      <c r="H44" s="135">
        <f>IF(OR(G44="",G25=0),"",G44/G25)</f>
        <v/>
      </c>
      <c r="I44" s="135">
        <f>IF(G44="","",G44/G$5)</f>
        <v/>
      </c>
      <c r="J44" s="134">
        <f>IF(OR(D44="",G44=""),"",D44-G44)</f>
        <v/>
      </c>
      <c r="K44" s="11" t="n"/>
    </row>
    <row r="45">
      <c r="B45" s="32" t="inlineStr">
        <is>
          <t>소계</t>
        </is>
      </c>
      <c r="C45" s="7" t="inlineStr">
        <is>
          <t>Ⅴ.영업이익(손실)</t>
        </is>
      </c>
      <c r="D45" s="131">
        <f>D24-D25</f>
        <v/>
      </c>
      <c r="E45" s="34" t="n"/>
      <c r="F45" s="132">
        <f>IF(D45="","",D45/D$5)</f>
        <v/>
      </c>
      <c r="G45" s="131">
        <f>G24-G25</f>
        <v/>
      </c>
      <c r="H45" s="34" t="n"/>
      <c r="I45" s="132">
        <f>IF(G45="","",G45/G$5)</f>
        <v/>
      </c>
      <c r="J45" s="133">
        <f>IF(OR(D45="",G45=""),"",D45-G45)</f>
        <v/>
      </c>
      <c r="K45" s="11" t="inlineStr">
        <is>
          <t>보고서 (2,079,522,109)</t>
        </is>
      </c>
    </row>
    <row r="46">
      <c r="B46" s="37" t="inlineStr">
        <is>
          <t>보완</t>
        </is>
      </c>
      <c r="C46" s="43" t="inlineStr">
        <is>
          <t>(+) 감가상각비 되더하기</t>
        </is>
      </c>
      <c r="D46" s="134">
        <f>D15</f>
        <v/>
      </c>
      <c r="E46" s="11" t="n"/>
      <c r="F46" s="135">
        <f>IF(D46="","",D46/D$5)</f>
        <v/>
      </c>
      <c r="G46" s="134">
        <f>G15</f>
        <v/>
      </c>
      <c r="H46" s="11" t="n"/>
      <c r="I46" s="135">
        <f>IF(G46="","",G46/G$5)</f>
        <v/>
      </c>
      <c r="J46" s="134">
        <f>IF(OR(D46="",G46=""),"",D46-G46)</f>
        <v/>
      </c>
      <c r="K46" s="9" t="inlineStr">
        <is>
          <t>[보완] 감가상각비는 운항원가 안에 있다</t>
        </is>
      </c>
    </row>
    <row r="47">
      <c r="B47" s="44" t="inlineStr">
        <is>
          <t>보완</t>
        </is>
      </c>
      <c r="C47" s="45" t="inlineStr">
        <is>
          <t>EBITDA</t>
        </is>
      </c>
      <c r="D47" s="136">
        <f>D45+D46</f>
        <v/>
      </c>
      <c r="E47" s="23" t="n"/>
      <c r="F47" s="137">
        <f>IF(D47="","",D47/D$5)</f>
        <v/>
      </c>
      <c r="G47" s="136">
        <f>G45+G46</f>
        <v/>
      </c>
      <c r="H47" s="23" t="n"/>
      <c r="I47" s="137">
        <f>IF(G47="","",G47/G$5)</f>
        <v/>
      </c>
      <c r="J47" s="138">
        <f>IF(OR(D47="",G47=""),"",D47-G47)</f>
        <v/>
      </c>
      <c r="K47" s="9" t="inlineStr">
        <is>
          <t>[보완] 영업이익 + 감가상각비</t>
        </is>
      </c>
    </row>
    <row r="48">
      <c r="B48" s="32" t="inlineStr">
        <is>
          <t>항목</t>
        </is>
      </c>
      <c r="C48" s="7" t="inlineStr">
        <is>
          <t>Ⅵ.영업외수익</t>
        </is>
      </c>
      <c r="D48" s="131">
        <f>SUM(D49:D52)</f>
        <v/>
      </c>
      <c r="E48" s="34" t="n"/>
      <c r="F48" s="132">
        <f>IF(D48="","",D48/D$5)</f>
        <v/>
      </c>
      <c r="G48" s="131">
        <f>SUM(G49:G52)</f>
        <v/>
      </c>
      <c r="H48" s="34" t="n"/>
      <c r="I48" s="132">
        <f>IF(G48="","",G48/G$5)</f>
        <v/>
      </c>
      <c r="J48" s="133">
        <f>IF(OR(D48="",G48=""),"",D48-G48)</f>
        <v/>
      </c>
      <c r="K48" s="11" t="inlineStr">
        <is>
          <t>보고서 81,389,927</t>
        </is>
      </c>
    </row>
    <row r="49">
      <c r="B49" s="37" t="inlineStr">
        <is>
          <t>세부</t>
        </is>
      </c>
      <c r="C49" s="38" t="inlineStr">
        <is>
          <t>이자수익</t>
        </is>
      </c>
      <c r="D49" s="134" t="n">
        <v>470621</v>
      </c>
      <c r="E49" s="135">
        <f>IF(OR(D49="",D48=0),"",D49/D48)</f>
        <v/>
      </c>
      <c r="F49" s="135">
        <f>IF(D49="","",D49/D$5)</f>
        <v/>
      </c>
      <c r="G49" s="134" t="n">
        <v>1110223</v>
      </c>
      <c r="H49" s="135">
        <f>IF(OR(G49="",G48=0),"",G49/G48)</f>
        <v/>
      </c>
      <c r="I49" s="135">
        <f>IF(G49="","",G49/G$5)</f>
        <v/>
      </c>
      <c r="J49" s="134">
        <f>IF(OR(D49="",G49=""),"",D49-G49)</f>
        <v/>
      </c>
      <c r="K49" s="11" t="n"/>
    </row>
    <row r="50">
      <c r="B50" s="37" t="inlineStr">
        <is>
          <t>세부</t>
        </is>
      </c>
      <c r="C50" s="38" t="inlineStr">
        <is>
          <t>외환차익</t>
        </is>
      </c>
      <c r="D50" s="134" t="n">
        <v>987854</v>
      </c>
      <c r="E50" s="135">
        <f>IF(OR(D50="",D48=0),"",D50/D48)</f>
        <v/>
      </c>
      <c r="F50" s="135">
        <f>IF(D50="","",D50/D$5)</f>
        <v/>
      </c>
      <c r="G50" s="134" t="n"/>
      <c r="H50" s="135">
        <f>IF(OR(G50="",G48=0),"",G50/G48)</f>
        <v/>
      </c>
      <c r="I50" s="135">
        <f>IF(G50="","",G50/G$5)</f>
        <v/>
      </c>
      <c r="J50" s="134">
        <f>IF(OR(D50="",G50=""),"",D50-G50)</f>
        <v/>
      </c>
      <c r="K50" s="11" t="n"/>
    </row>
    <row r="51">
      <c r="B51" s="37" t="inlineStr">
        <is>
          <t>세부</t>
        </is>
      </c>
      <c r="C51" s="38" t="inlineStr">
        <is>
          <t>환불위약금</t>
        </is>
      </c>
      <c r="D51" s="134" t="n">
        <v>24388874</v>
      </c>
      <c r="E51" s="135">
        <f>IF(OR(D51="",D48=0),"",D51/D48)</f>
        <v/>
      </c>
      <c r="F51" s="135">
        <f>IF(D51="","",D51/D$5)</f>
        <v/>
      </c>
      <c r="G51" s="134" t="n">
        <v>12934430</v>
      </c>
      <c r="H51" s="135">
        <f>IF(OR(G51="",G48=0),"",G51/G48)</f>
        <v/>
      </c>
      <c r="I51" s="135">
        <f>IF(G51="","",G51/G$5)</f>
        <v/>
      </c>
      <c r="J51" s="134">
        <f>IF(OR(D51="",G51=""),"",D51-G51)</f>
        <v/>
      </c>
      <c r="K51" s="11" t="n"/>
    </row>
    <row r="52">
      <c r="B52" s="37" t="inlineStr">
        <is>
          <t>세부</t>
        </is>
      </c>
      <c r="C52" s="38" t="inlineStr">
        <is>
          <t>잡이익</t>
        </is>
      </c>
      <c r="D52" s="134" t="n">
        <v>55542578</v>
      </c>
      <c r="E52" s="135">
        <f>IF(OR(D52="",D48=0),"",D52/D48)</f>
        <v/>
      </c>
      <c r="F52" s="135">
        <f>IF(D52="","",D52/D$5)</f>
        <v/>
      </c>
      <c r="G52" s="134" t="n">
        <v>24819772</v>
      </c>
      <c r="H52" s="135">
        <f>IF(OR(G52="",G48=0),"",G52/G48)</f>
        <v/>
      </c>
      <c r="I52" s="135">
        <f>IF(G52="","",G52/G$5)</f>
        <v/>
      </c>
      <c r="J52" s="134">
        <f>IF(OR(D52="",G52=""),"",D52-G52)</f>
        <v/>
      </c>
      <c r="K52" s="11" t="n"/>
    </row>
    <row r="53">
      <c r="B53" s="32" t="inlineStr">
        <is>
          <t>항목</t>
        </is>
      </c>
      <c r="C53" s="7" t="inlineStr">
        <is>
          <t>Ⅶ.영업외비용</t>
        </is>
      </c>
      <c r="D53" s="131">
        <f>SUM(D54:D57)</f>
        <v/>
      </c>
      <c r="E53" s="34" t="n"/>
      <c r="F53" s="132">
        <f>IF(D53="","",D53/D$5)</f>
        <v/>
      </c>
      <c r="G53" s="131">
        <f>SUM(G54:G57)</f>
        <v/>
      </c>
      <c r="H53" s="34" t="n"/>
      <c r="I53" s="132">
        <f>IF(G53="","",G53/G$5)</f>
        <v/>
      </c>
      <c r="J53" s="133">
        <f>IF(OR(D53="",G53=""),"",D53-G53)</f>
        <v/>
      </c>
      <c r="K53" s="11" t="inlineStr">
        <is>
          <t>보고서 4,042,055,930</t>
        </is>
      </c>
    </row>
    <row r="54">
      <c r="B54" s="37" t="inlineStr">
        <is>
          <t>세부</t>
        </is>
      </c>
      <c r="C54" s="38" t="inlineStr">
        <is>
          <t>이자비용(주5)</t>
        </is>
      </c>
      <c r="D54" s="134" t="n">
        <v>4008855236</v>
      </c>
      <c r="E54" s="135">
        <f>IF(OR(D54="",D53=0),"",D54/D53)</f>
        <v/>
      </c>
      <c r="F54" s="135">
        <f>IF(D54="","",D54/D$5)</f>
        <v/>
      </c>
      <c r="G54" s="134" t="n">
        <v>2338902767</v>
      </c>
      <c r="H54" s="135">
        <f>IF(OR(G54="",G53=0),"",G54/G53)</f>
        <v/>
      </c>
      <c r="I54" s="135">
        <f>IF(G54="","",G54/G$5)</f>
        <v/>
      </c>
      <c r="J54" s="134">
        <f>IF(OR(D54="",G54=""),"",D54-G54)</f>
        <v/>
      </c>
      <c r="K54" s="11" t="inlineStr">
        <is>
          <t>매출의 30% 초과</t>
        </is>
      </c>
    </row>
    <row r="55">
      <c r="B55" s="37" t="inlineStr">
        <is>
          <t>세부</t>
        </is>
      </c>
      <c r="C55" s="38" t="inlineStr">
        <is>
          <t>유형자산처분손실</t>
        </is>
      </c>
      <c r="D55" s="134" t="n"/>
      <c r="E55" s="135">
        <f>IF(OR(D55="",D53=0),"",D55/D53)</f>
        <v/>
      </c>
      <c r="F55" s="135">
        <f>IF(D55="","",D55/D$5)</f>
        <v/>
      </c>
      <c r="G55" s="134" t="n">
        <v>2575684</v>
      </c>
      <c r="H55" s="135">
        <f>IF(OR(G55="",G53=0),"",G55/G53)</f>
        <v/>
      </c>
      <c r="I55" s="135">
        <f>IF(G55="","",G55/G$5)</f>
        <v/>
      </c>
      <c r="J55" s="134">
        <f>IF(OR(D55="",G55=""),"",D55-G55)</f>
        <v/>
      </c>
      <c r="K55" s="11" t="n"/>
    </row>
    <row r="56">
      <c r="B56" s="37" t="inlineStr">
        <is>
          <t>세부</t>
        </is>
      </c>
      <c r="C56" s="38" t="inlineStr">
        <is>
          <t>기부금</t>
        </is>
      </c>
      <c r="D56" s="134" t="n">
        <v>6400000</v>
      </c>
      <c r="E56" s="135">
        <f>IF(OR(D56="",D53=0),"",D56/D53)</f>
        <v/>
      </c>
      <c r="F56" s="135">
        <f>IF(D56="","",D56/D$5)</f>
        <v/>
      </c>
      <c r="G56" s="134" t="n">
        <v>9605000</v>
      </c>
      <c r="H56" s="135">
        <f>IF(OR(G56="",G53=0),"",G56/G53)</f>
        <v/>
      </c>
      <c r="I56" s="135">
        <f>IF(G56="","",G56/G$5)</f>
        <v/>
      </c>
      <c r="J56" s="134">
        <f>IF(OR(D56="",G56=""),"",D56-G56)</f>
        <v/>
      </c>
      <c r="K56" s="11" t="n"/>
    </row>
    <row r="57">
      <c r="B57" s="37" t="inlineStr">
        <is>
          <t>세부</t>
        </is>
      </c>
      <c r="C57" s="38" t="inlineStr">
        <is>
          <t>잡손실</t>
        </is>
      </c>
      <c r="D57" s="134" t="n">
        <v>26800694</v>
      </c>
      <c r="E57" s="135">
        <f>IF(OR(D57="",D53=0),"",D57/D53)</f>
        <v/>
      </c>
      <c r="F57" s="135">
        <f>IF(D57="","",D57/D$5)</f>
        <v/>
      </c>
      <c r="G57" s="134" t="n">
        <v>15459290</v>
      </c>
      <c r="H57" s="135">
        <f>IF(OR(G57="",G53=0),"",G57/G53)</f>
        <v/>
      </c>
      <c r="I57" s="135">
        <f>IF(G57="","",G57/G$5)</f>
        <v/>
      </c>
      <c r="J57" s="134">
        <f>IF(OR(D57="",G57=""),"",D57-G57)</f>
        <v/>
      </c>
      <c r="K57" s="11" t="n"/>
    </row>
    <row r="58">
      <c r="B58" s="32" t="inlineStr">
        <is>
          <t>소계</t>
        </is>
      </c>
      <c r="C58" s="7" t="inlineStr">
        <is>
          <t>Ⅷ.법인세비용차감전순이익(손실)</t>
        </is>
      </c>
      <c r="D58" s="131">
        <f>D45+D48-D53</f>
        <v/>
      </c>
      <c r="E58" s="34" t="n"/>
      <c r="F58" s="132">
        <f>IF(D58="","",D58/D$5)</f>
        <v/>
      </c>
      <c r="G58" s="131">
        <f>G45+G48-G53</f>
        <v/>
      </c>
      <c r="H58" s="34" t="n"/>
      <c r="I58" s="132">
        <f>IF(G58="","",G58/G$5)</f>
        <v/>
      </c>
      <c r="J58" s="133">
        <f>IF(OR(D58="",G58=""),"",D58-G58)</f>
        <v/>
      </c>
      <c r="K58" s="11" t="inlineStr">
        <is>
          <t>보고서 "순손실 6,040,188,112" — 여기서는 부호로 표시</t>
        </is>
      </c>
    </row>
    <row r="59">
      <c r="B59" s="32" t="inlineStr">
        <is>
          <t>항목</t>
        </is>
      </c>
      <c r="C59" s="7" t="inlineStr">
        <is>
          <t>Ⅸ.법인세비용(주8)</t>
        </is>
      </c>
      <c r="D59" s="133" t="n"/>
      <c r="E59" s="34" t="n"/>
      <c r="F59" s="132">
        <f>IF(D59="","",D59/D$5)</f>
        <v/>
      </c>
      <c r="G59" s="133" t="n"/>
      <c r="H59" s="34" t="n"/>
      <c r="I59" s="132">
        <f>IF(G59="","",G59/G$5)</f>
        <v/>
      </c>
      <c r="J59" s="133">
        <f>IF(OR(D59="",G59=""),"",D59-G59)</f>
        <v/>
      </c>
      <c r="K59" s="11" t="inlineStr">
        <is>
          <t>보고서 "-"</t>
        </is>
      </c>
    </row>
    <row r="60">
      <c r="B60" s="32" t="inlineStr">
        <is>
          <t>소계</t>
        </is>
      </c>
      <c r="C60" s="7" t="inlineStr">
        <is>
          <t>Ⅹ.당기순이익(손실)(주16,17)</t>
        </is>
      </c>
      <c r="D60" s="131">
        <f>D58-D59</f>
        <v/>
      </c>
      <c r="E60" s="34" t="n"/>
      <c r="F60" s="132">
        <f>IF(D60="","",D60/D$5)</f>
        <v/>
      </c>
      <c r="G60" s="131">
        <f>G58-G59</f>
        <v/>
      </c>
      <c r="H60" s="34" t="n"/>
      <c r="I60" s="132">
        <f>IF(G60="","",G60/G$5)</f>
        <v/>
      </c>
      <c r="J60" s="133">
        <f>IF(OR(D60="",G60=""),"",D60-G60)</f>
        <v/>
      </c>
      <c r="K60" s="11" t="inlineStr">
        <is>
          <t>보고서 "당기순손실 6,040,188,112"</t>
        </is>
      </c>
    </row>
    <row r="61">
      <c r="B61" s="37" t="inlineStr">
        <is>
          <t>보완</t>
        </is>
      </c>
      <c r="C61" s="38" t="inlineStr">
        <is>
          <t>당기순손익 (손실 △)</t>
        </is>
      </c>
      <c r="D61" s="134">
        <f>D60</f>
        <v/>
      </c>
      <c r="E61" s="11" t="n"/>
      <c r="F61" s="135">
        <f>IF(D61="","",D61/D$5)</f>
        <v/>
      </c>
      <c r="G61" s="134">
        <f>G60</f>
        <v/>
      </c>
      <c r="H61" s="11" t="n"/>
      <c r="I61" s="135">
        <f>IF(G61="","",G61/G$5)</f>
        <v/>
      </c>
      <c r="J61" s="134">
        <f>IF(OR(D61="",G61=""),"",D61-G61)</f>
        <v/>
      </c>
      <c r="K61" s="9" t="inlineStr">
        <is>
          <t>[보완] EBITDA 조정표 — 교과서 정의 경로</t>
        </is>
      </c>
    </row>
    <row r="62">
      <c r="B62" s="37" t="inlineStr">
        <is>
          <t>보완</t>
        </is>
      </c>
      <c r="C62" s="43" t="inlineStr">
        <is>
          <t>(+) 이자비용</t>
        </is>
      </c>
      <c r="D62" s="134">
        <f>D54</f>
        <v/>
      </c>
      <c r="E62" s="11" t="n"/>
      <c r="F62" s="135">
        <f>IF(D62="","",D62/D$5)</f>
        <v/>
      </c>
      <c r="G62" s="134">
        <f>G54</f>
        <v/>
      </c>
      <c r="H62" s="11" t="n"/>
      <c r="I62" s="135">
        <f>IF(G62="","",G62/G$5)</f>
        <v/>
      </c>
      <c r="J62" s="134">
        <f>IF(OR(D62="",G62=""),"",D62-G62)</f>
        <v/>
      </c>
      <c r="K62" s="9" t="inlineStr">
        <is>
          <t>[보완]</t>
        </is>
      </c>
    </row>
    <row r="63">
      <c r="B63" s="37" t="inlineStr">
        <is>
          <t>보완</t>
        </is>
      </c>
      <c r="C63" s="43" t="inlineStr">
        <is>
          <t>(+) 법인세비용</t>
        </is>
      </c>
      <c r="D63" s="134">
        <f>D59</f>
        <v/>
      </c>
      <c r="E63" s="11" t="n"/>
      <c r="F63" s="135">
        <f>IF(D63="","",D63/D$5)</f>
        <v/>
      </c>
      <c r="G63" s="134">
        <f>G59</f>
        <v/>
      </c>
      <c r="H63" s="11" t="n"/>
      <c r="I63" s="135">
        <f>IF(G63="","",G63/G$5)</f>
        <v/>
      </c>
      <c r="J63" s="134">
        <f>IF(OR(D63="",G63=""),"",D63-G63)</f>
        <v/>
      </c>
      <c r="K63" s="9" t="inlineStr">
        <is>
          <t>[보완]</t>
        </is>
      </c>
    </row>
    <row r="64">
      <c r="B64" s="37" t="inlineStr">
        <is>
          <t>보완</t>
        </is>
      </c>
      <c r="C64" s="43" t="inlineStr">
        <is>
          <t>(+) 감가상각비</t>
        </is>
      </c>
      <c r="D64" s="134">
        <f>D15</f>
        <v/>
      </c>
      <c r="E64" s="11" t="n"/>
      <c r="F64" s="135">
        <f>IF(D64="","",D64/D$5)</f>
        <v/>
      </c>
      <c r="G64" s="134">
        <f>G15</f>
        <v/>
      </c>
      <c r="H64" s="11" t="n"/>
      <c r="I64" s="135">
        <f>IF(G64="","",G64/G$5)</f>
        <v/>
      </c>
      <c r="J64" s="134">
        <f>IF(OR(D64="",G64=""),"",D64-G64)</f>
        <v/>
      </c>
      <c r="K64" s="9" t="inlineStr">
        <is>
          <t>[보완]</t>
        </is>
      </c>
    </row>
    <row r="65">
      <c r="B65" s="37" t="inlineStr">
        <is>
          <t>보완</t>
        </is>
      </c>
      <c r="C65" s="38" t="inlineStr">
        <is>
          <t>＝ 소계 (영업외손익 포함)</t>
        </is>
      </c>
      <c r="D65" s="134">
        <f>SUM(D61:D64)</f>
        <v/>
      </c>
      <c r="E65" s="11" t="n"/>
      <c r="F65" s="135">
        <f>IF(D65="","",D65/D$5)</f>
        <v/>
      </c>
      <c r="G65" s="134">
        <f>SUM(G61:G64)</f>
        <v/>
      </c>
      <c r="H65" s="11" t="n"/>
      <c r="I65" s="135">
        <f>IF(G65="","",G65/G$5)</f>
        <v/>
      </c>
      <c r="J65" s="134">
        <f>IF(OR(D65="",G65=""),"",D65-G65)</f>
        <v/>
      </c>
      <c r="K65" s="9" t="inlineStr">
        <is>
          <t>[보완]</t>
        </is>
      </c>
    </row>
    <row r="66">
      <c r="B66" s="37" t="inlineStr">
        <is>
          <t>보완</t>
        </is>
      </c>
      <c r="C66" s="43" t="inlineStr">
        <is>
          <t>(−) 영업외수익</t>
        </is>
      </c>
      <c r="D66" s="134">
        <f>-D48</f>
        <v/>
      </c>
      <c r="E66" s="11" t="n"/>
      <c r="F66" s="135">
        <f>IF(D66="","",D66/D$5)</f>
        <v/>
      </c>
      <c r="G66" s="134">
        <f>-G48</f>
        <v/>
      </c>
      <c r="H66" s="11" t="n"/>
      <c r="I66" s="135">
        <f>IF(G66="","",G66/G$5)</f>
        <v/>
      </c>
      <c r="J66" s="134">
        <f>IF(OR(D66="",G66=""),"",D66-G66)</f>
        <v/>
      </c>
      <c r="K66" s="9" t="inlineStr">
        <is>
          <t>[보완]</t>
        </is>
      </c>
    </row>
    <row r="67">
      <c r="B67" s="37" t="inlineStr">
        <is>
          <t>보완</t>
        </is>
      </c>
      <c r="C67" s="43" t="inlineStr">
        <is>
          <t>(+) 이자 외 영업외비용</t>
        </is>
      </c>
      <c r="D67" s="134">
        <f>D53-D54</f>
        <v/>
      </c>
      <c r="E67" s="11" t="n"/>
      <c r="F67" s="135">
        <f>IF(D67="","",D67/D$5)</f>
        <v/>
      </c>
      <c r="G67" s="134">
        <f>G53-G54</f>
        <v/>
      </c>
      <c r="H67" s="11" t="n"/>
      <c r="I67" s="135">
        <f>IF(G67="","",G67/G$5)</f>
        <v/>
      </c>
      <c r="J67" s="134">
        <f>IF(OR(D67="",G67=""),"",D67-G67)</f>
        <v/>
      </c>
      <c r="K67" s="9" t="inlineStr">
        <is>
          <t>[보완]</t>
        </is>
      </c>
    </row>
    <row r="68">
      <c r="B68" s="44" t="inlineStr">
        <is>
          <t>보완</t>
        </is>
      </c>
      <c r="C68" s="49" t="inlineStr">
        <is>
          <t>＝ EBITDA (Ⅴ 기준과 일치)</t>
        </is>
      </c>
      <c r="D68" s="136">
        <f>D65+D66+D67</f>
        <v/>
      </c>
      <c r="E68" s="23" t="n"/>
      <c r="F68" s="137">
        <f>IF(D68="","",D68/D$5)</f>
        <v/>
      </c>
      <c r="G68" s="136">
        <f>G65+G66+G67</f>
        <v/>
      </c>
      <c r="H68" s="23" t="n"/>
      <c r="I68" s="137">
        <f>IF(G68="","",G68/G$5)</f>
        <v/>
      </c>
      <c r="J68" s="138">
        <f>IF(OR(D68="",G68=""),"",D68-G68)</f>
        <v/>
      </c>
      <c r="K68" s="9" t="inlineStr">
        <is>
          <t>[보완] 두 경로가 같은 값에 닿는다</t>
        </is>
      </c>
    </row>
    <row r="70">
      <c r="C70" s="3" t="inlineStr">
        <is>
          <t>출처: [대저페리]감사보고서(2025.04.09).pdf — 신한회계법인 · 2025.03.31 · 의견거절 · DART 전자공시 https://dart.fss.or.kr/</t>
        </is>
      </c>
    </row>
    <row r="71">
      <c r="C71" s="3" t="inlineStr">
        <is>
          <t>운항원가 세부 6줄은 주석 15 운항원가 열(천원)을 ×1,000 해서 원으로 맞춘 값. "운항기타"는 운항원가 총액에서 6줄을 뺀 차액이라 반올림까지 흡수한다.</t>
        </is>
      </c>
    </row>
    <row r="72">
      <c r="C72" s="3" t="inlineStr">
        <is>
          <t>운항기타 세목 5줄은 가정 비율(설정값 A-2)로 나눈 값 — 금액이 아니라 비율을 가정하므로 합계는 언제나 보고서 잔액 그대로다.</t>
        </is>
      </c>
    </row>
  </sheetData>
  <pageMargins left="0.75" right="0.75" top="1" bottom="1" header="0.511811023622047" footer="0.511811023622047"/>
  <pageSetup orientation="landscape" fitToHeight="0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1:I21"/>
  <sheetViews>
    <sheetView zoomScale="85" zoomScaleNormal="85" workbookViewId="0">
      <selection activeCell="F23" sqref="F23"/>
    </sheetView>
  </sheetViews>
  <sheetFormatPr baseColWidth="8" defaultColWidth="8.7109375" defaultRowHeight="15"/>
  <cols>
    <col width="2" customWidth="1" min="1" max="1"/>
    <col width="30" customWidth="1" min="2" max="2"/>
    <col width="15" customWidth="1" min="3" max="8"/>
    <col width="50" customWidth="1" min="9" max="9"/>
  </cols>
  <sheetData>
    <row r="1" ht="26.25" customHeight="1">
      <c r="B1" s="2" t="inlineStr">
        <is>
          <t>감사보고서 주석 · 보조 자료</t>
        </is>
      </c>
    </row>
    <row r="2">
      <c r="B2" s="3" t="inlineStr">
        <is>
          <t>주석 15 부가가치 관련자료는 천원 공시 — 보고서 표기 그대로. 운항원가의 "분해표"가 아니라 부가가치 6개 계정만 판관비/운항원가로 가른 표다.</t>
        </is>
      </c>
    </row>
    <row r="4" ht="16.5" customHeight="1">
      <c r="B4" s="24" t="inlineStr">
        <is>
          <t>1. 주석 15 부가가치 관련자료 (단위: 천원)</t>
        </is>
      </c>
    </row>
    <row r="5">
      <c r="B5" s="122" t="inlineStr">
        <is>
          <t>계정과목</t>
        </is>
      </c>
      <c r="C5" s="122" t="inlineStr">
        <is>
          <t>당기 판관비</t>
        </is>
      </c>
      <c r="D5" s="122" t="inlineStr">
        <is>
          <t>당기 운항원가</t>
        </is>
      </c>
      <c r="E5" s="122" t="inlineStr">
        <is>
          <t>당기 합계</t>
        </is>
      </c>
      <c r="F5" s="122" t="inlineStr">
        <is>
          <t>전기 판관비</t>
        </is>
      </c>
      <c r="G5" s="122" t="inlineStr">
        <is>
          <t>전기 운항원가</t>
        </is>
      </c>
      <c r="H5" s="122" t="inlineStr">
        <is>
          <t>전기 합계</t>
        </is>
      </c>
      <c r="I5" s="122" t="inlineStr">
        <is>
          <t>비고</t>
        </is>
      </c>
    </row>
    <row r="6">
      <c r="B6" s="11" t="inlineStr">
        <is>
          <t>급여</t>
        </is>
      </c>
      <c r="C6" s="134" t="n">
        <v>1822879</v>
      </c>
      <c r="D6" s="134" t="n">
        <v>1253988</v>
      </c>
      <c r="E6" s="134">
        <f>C6+D6</f>
        <v/>
      </c>
      <c r="F6" s="134" t="n">
        <v>925393</v>
      </c>
      <c r="G6" s="134" t="n">
        <v>598243</v>
      </c>
      <c r="H6" s="134">
        <f>F6+G6</f>
        <v/>
      </c>
      <c r="I6" s="11" t="n"/>
    </row>
    <row r="7">
      <c r="B7" s="11" t="inlineStr">
        <is>
          <t>퇴직급여</t>
        </is>
      </c>
      <c r="C7" s="134" t="n">
        <v>152420</v>
      </c>
      <c r="D7" s="134" t="n">
        <v>148252</v>
      </c>
      <c r="E7" s="134">
        <f>C7+D7</f>
        <v/>
      </c>
      <c r="F7" s="134" t="n">
        <v>47090</v>
      </c>
      <c r="G7" s="134" t="n">
        <v>21645</v>
      </c>
      <c r="H7" s="134">
        <f>F7+G7</f>
        <v/>
      </c>
      <c r="I7" s="11" t="n"/>
    </row>
    <row r="8">
      <c r="B8" s="11" t="inlineStr">
        <is>
          <t>복리후생비</t>
        </is>
      </c>
      <c r="C8" s="134" t="n">
        <v>147553</v>
      </c>
      <c r="D8" s="134" t="n">
        <v>267351</v>
      </c>
      <c r="E8" s="134">
        <f>C8+D8</f>
        <v/>
      </c>
      <c r="F8" s="134" t="n">
        <v>149856</v>
      </c>
      <c r="G8" s="134" t="n">
        <v>122501</v>
      </c>
      <c r="H8" s="134">
        <f>F8+G8</f>
        <v/>
      </c>
      <c r="I8" s="11" t="n"/>
    </row>
    <row r="9">
      <c r="B9" s="50" t="inlineStr">
        <is>
          <t>인건비 소계 ← 선원비에 해당</t>
        </is>
      </c>
      <c r="C9" s="139">
        <f>SUM(C6:C8)</f>
        <v/>
      </c>
      <c r="D9" s="139">
        <f>SUM(D6:D8)</f>
        <v/>
      </c>
      <c r="E9" s="139">
        <f>SUM(E6:E8)</f>
        <v/>
      </c>
      <c r="F9" s="139">
        <f>SUM(F6:F8)</f>
        <v/>
      </c>
      <c r="G9" s="139">
        <f>SUM(G6:G8)</f>
        <v/>
      </c>
      <c r="H9" s="139">
        <f>SUM(H6:H8)</f>
        <v/>
      </c>
      <c r="I9" s="101" t="n"/>
    </row>
    <row r="10">
      <c r="B10" s="11" t="inlineStr">
        <is>
          <t>감가상각비</t>
        </is>
      </c>
      <c r="C10" s="134" t="n">
        <v>0</v>
      </c>
      <c r="D10" s="134" t="n">
        <v>3349232</v>
      </c>
      <c r="E10" s="134">
        <f>C10+D10</f>
        <v/>
      </c>
      <c r="F10" s="134" t="n">
        <v>0</v>
      </c>
      <c r="G10" s="134" t="n">
        <v>1665933</v>
      </c>
      <c r="H10" s="134">
        <f>F10+G10</f>
        <v/>
      </c>
      <c r="I10" s="11" t="n"/>
    </row>
    <row r="11">
      <c r="B11" s="11" t="inlineStr">
        <is>
          <t>세금과공과</t>
        </is>
      </c>
      <c r="C11" s="134" t="n">
        <v>62972</v>
      </c>
      <c r="D11" s="134" t="n">
        <v>48282</v>
      </c>
      <c r="E11" s="134">
        <f>C11+D11</f>
        <v/>
      </c>
      <c r="F11" s="134" t="n">
        <v>28336</v>
      </c>
      <c r="G11" s="134" t="n">
        <v>67295</v>
      </c>
      <c r="H11" s="134">
        <f>F11+G11</f>
        <v/>
      </c>
      <c r="I11" s="11" t="n"/>
    </row>
    <row r="12">
      <c r="B12" s="11" t="inlineStr">
        <is>
          <t>임차료</t>
        </is>
      </c>
      <c r="C12" s="134" t="n">
        <v>74136</v>
      </c>
      <c r="D12" s="134" t="n">
        <v>30929</v>
      </c>
      <c r="E12" s="134">
        <f>C12+D12</f>
        <v/>
      </c>
      <c r="F12" s="134" t="n">
        <v>29850</v>
      </c>
      <c r="G12" s="134" t="n">
        <v>0</v>
      </c>
      <c r="H12" s="134">
        <f>F12+G12</f>
        <v/>
      </c>
      <c r="I12" s="11" t="n"/>
    </row>
    <row r="13">
      <c r="B13" s="4" t="inlineStr">
        <is>
          <t>주석 15 합계</t>
        </is>
      </c>
      <c r="C13" s="131">
        <f>C9+SUM(C10:C12)</f>
        <v/>
      </c>
      <c r="D13" s="131">
        <f>D9+SUM(D10:D12)</f>
        <v/>
      </c>
      <c r="E13" s="131">
        <f>E9+SUM(E10:E12)</f>
        <v/>
      </c>
      <c r="F13" s="131">
        <f>F9+SUM(F10:F12)</f>
        <v/>
      </c>
      <c r="G13" s="131">
        <f>G9+SUM(G10:G12)</f>
        <v/>
      </c>
      <c r="H13" s="131">
        <f>H9+SUM(H10:H12)</f>
        <v/>
      </c>
      <c r="I13" s="101" t="n"/>
    </row>
    <row r="14">
      <c r="B14" s="52" t="inlineStr">
        <is>
          <t>운항원가 총액과의 간극 (천원)</t>
        </is>
      </c>
      <c r="D14" s="140">
        <f>ROUND(손익계산서_원본!$D$11/1000,0)-D13</f>
        <v/>
      </c>
      <c r="I14" s="3" t="inlineStr">
        <is>
          <t>손익계산서 운항원가(천원) − 주석 15 운항원가 열 = 보고서 어디에도 갈라 적혀 있지 않은 금액 (연료·항비·수선비·보험료 등)</t>
        </is>
      </c>
    </row>
    <row r="15">
      <c r="B15" s="3" t="inlineStr">
        <is>
          <t>주석 15를 운항원가 분해표로 읽으면 틀린다. 인건비 성격은 위 세 줄뿐이고, 선원/육상 운항지원 구분은 불가.</t>
        </is>
      </c>
    </row>
    <row r="17" ht="16.5" customHeight="1">
      <c r="B17" s="24" t="inlineStr">
        <is>
          <t>2. 그 밖의 주석 · 재무제표 값 (원)</t>
        </is>
      </c>
    </row>
    <row r="18">
      <c r="B18" s="122" t="inlineStr">
        <is>
          <t>항목</t>
        </is>
      </c>
      <c r="C18" s="122" t="inlineStr">
        <is>
          <t>당기 2024</t>
        </is>
      </c>
      <c r="D18" s="122" t="inlineStr">
        <is>
          <t>전기 2023</t>
        </is>
      </c>
      <c r="E18" s="116" t="n"/>
      <c r="F18" s="116" t="n"/>
      <c r="G18" s="116" t="n"/>
      <c r="H18" s="116" t="n"/>
      <c r="I18" s="122" t="inlineStr">
        <is>
          <t>출처</t>
        </is>
      </c>
    </row>
    <row r="19">
      <c r="B19" s="11" t="inlineStr">
        <is>
          <t>퇴직급여충당부채 당기 전입액</t>
        </is>
      </c>
      <c r="C19" s="134" t="n">
        <v>300671000</v>
      </c>
      <c r="D19" s="134" t="n"/>
      <c r="I19" s="11" t="inlineStr">
        <is>
          <t>주석 7</t>
        </is>
      </c>
    </row>
    <row r="20">
      <c r="B20" s="11" t="inlineStr">
        <is>
          <t>영업활동으로 인한 현금흐름</t>
        </is>
      </c>
      <c r="C20" s="134" t="n">
        <v>-4645599309</v>
      </c>
      <c r="D20" s="134" t="n">
        <v>-5004878618</v>
      </c>
      <c r="I20" s="11" t="inlineStr">
        <is>
          <t>현금흐름표 — EBITDA 흑자의 현실 점검용</t>
        </is>
      </c>
    </row>
    <row r="21">
      <c r="B21" s="11" t="inlineStr">
        <is>
          <t>부가세예수금 (기말 잔액)</t>
        </is>
      </c>
      <c r="C21" s="134" t="n">
        <v>664296932</v>
      </c>
      <c r="D21" s="134" t="n">
        <v>212619820</v>
      </c>
      <c r="I21" s="11" t="inlineStr">
        <is>
          <t>재무상태표 유동부채 (전기: 감사받지 아니함)</t>
        </is>
      </c>
    </row>
  </sheetData>
  <pageMargins left="0.75" right="0.75" top="1" bottom="1" header="0.511811023622047" footer="0.511811023622047"/>
  <pageSetup orientation="landscape" fitToHeight="0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1:J88"/>
  <sheetViews>
    <sheetView zoomScale="85" zoomScaleNormal="85" workbookViewId="0">
      <selection activeCell="F34" sqref="F34"/>
    </sheetView>
  </sheetViews>
  <sheetFormatPr baseColWidth="8" defaultColWidth="8.7109375" defaultRowHeight="15"/>
  <cols>
    <col width="2" customWidth="1" min="1" max="1"/>
    <col width="36" customWidth="1" min="2" max="2"/>
    <col width="18" customWidth="1" min="3" max="3"/>
    <col width="12" customWidth="1" min="4" max="5"/>
    <col width="29" bestFit="1" customWidth="1" min="6" max="6"/>
    <col width="16" customWidth="1" min="7" max="9"/>
    <col width="60" customWidth="1" min="10" max="10"/>
  </cols>
  <sheetData>
    <row r="1" ht="26.25" customHeight="1">
      <c r="B1" s="2" t="inlineStr">
        <is>
          <t>원가 구조 — 기준 자료 (대저페리 제3기 · 참조 선박)</t>
        </is>
      </c>
    </row>
    <row r="2">
      <c r="B2" s="3" t="inlineStr">
        <is>
          <t>감사보고서 값에서 파생되는 중간값과 BEP 모형의 입력(고정비·준변동비·변동비)을 세운다. 단위: 원</t>
        </is>
      </c>
    </row>
    <row r="4" ht="16.5" customHeight="1">
      <c r="B4" s="24" t="inlineStr">
        <is>
          <t>1. 감사보고서 파생값</t>
        </is>
      </c>
    </row>
    <row r="5">
      <c r="B5" s="122" t="inlineStr">
        <is>
          <t>항목</t>
        </is>
      </c>
      <c r="C5" s="122" t="inlineStr">
        <is>
          <t>금액</t>
        </is>
      </c>
      <c r="D5" s="116" t="n"/>
      <c r="E5" s="116" t="n"/>
      <c r="F5" s="116" t="n"/>
      <c r="G5" s="116" t="n"/>
      <c r="H5" s="116" t="n"/>
      <c r="I5" s="116" t="n"/>
      <c r="J5" s="122" t="inlineStr">
        <is>
          <t>산식</t>
        </is>
      </c>
    </row>
    <row r="6">
      <c r="B6" s="11" t="inlineStr">
        <is>
          <t>여객수입</t>
        </is>
      </c>
      <c r="C6" s="134">
        <f>손익계산서_원본!$D$6</f>
        <v/>
      </c>
      <c r="J6" s="11" t="inlineStr">
        <is>
          <t>손익계산서 Ⅰ 여객수입</t>
        </is>
      </c>
    </row>
    <row r="7">
      <c r="B7" s="11" t="inlineStr">
        <is>
          <t>매출액</t>
        </is>
      </c>
      <c r="C7" s="134">
        <f>손익계산서_원본!$D$5</f>
        <v/>
      </c>
      <c r="J7" s="11" t="inlineStr">
        <is>
          <t>손익계산서 Ⅰ</t>
        </is>
      </c>
    </row>
    <row r="8">
      <c r="B8" s="11" t="inlineStr">
        <is>
          <t>여객 외 수입 (O)</t>
        </is>
      </c>
      <c r="C8" s="134">
        <f>원가구조_기준!$C$7-원가구조_기준!$C$6</f>
        <v/>
      </c>
      <c r="J8" s="11" t="inlineStr">
        <is>
          <t>매출액 − 여객수입 = 화물 + 임대료 등 · BEP 모형의 O</t>
        </is>
      </c>
    </row>
    <row r="9">
      <c r="B9" s="11" t="inlineStr">
        <is>
          <t>화물수입</t>
        </is>
      </c>
      <c r="C9" s="134">
        <f>손익계산서_원본!$D$7</f>
        <v/>
      </c>
      <c r="J9" s="11" t="n"/>
    </row>
    <row r="10">
      <c r="B10" s="11" t="inlineStr">
        <is>
          <t>화물 외 기타수입 (임대료 등)</t>
        </is>
      </c>
      <c r="C10" s="134">
        <f>원가구조_기준!$C$8-원가구조_기준!$C$9</f>
        <v/>
      </c>
      <c r="J10" s="11" t="n"/>
    </row>
    <row r="11">
      <c r="B11" s="11" t="inlineStr">
        <is>
          <t>운항원가 (매출원가)</t>
        </is>
      </c>
      <c r="C11" s="134">
        <f>손익계산서_원본!$D$10</f>
        <v/>
      </c>
      <c r="J11" s="11" t="n"/>
    </row>
    <row r="12">
      <c r="B12" s="11" t="inlineStr">
        <is>
          <t>판매비와관리비</t>
        </is>
      </c>
      <c r="C12" s="134">
        <f>손익계산서_원본!$D$25</f>
        <v/>
      </c>
      <c r="J12" s="11" t="n"/>
    </row>
    <row r="13">
      <c r="B13" s="11" t="inlineStr">
        <is>
          <t>영업이익(손실)</t>
        </is>
      </c>
      <c r="C13" s="134">
        <f>손익계산서_원본!$D$45</f>
        <v/>
      </c>
      <c r="J13" s="11" t="n"/>
    </row>
    <row r="14">
      <c r="B14" s="11" t="inlineStr">
        <is>
          <t>운항 감가상각비</t>
        </is>
      </c>
      <c r="C14" s="134">
        <f>손익계산서_원본!$D$15</f>
        <v/>
      </c>
      <c r="J14" s="11" t="inlineStr">
        <is>
          <t>전액 운항원가에 들어가 있다</t>
        </is>
      </c>
    </row>
    <row r="15">
      <c r="B15" s="54" t="inlineStr">
        <is>
          <t>EBITDA</t>
        </is>
      </c>
      <c r="C15" s="139">
        <f>원가구조_기준!$C$13+원가구조_기준!$C$14</f>
        <v/>
      </c>
      <c r="J15" s="11" t="inlineStr">
        <is>
          <t>영업이익 + 감가상각비</t>
        </is>
      </c>
    </row>
    <row r="16">
      <c r="B16" s="11" t="inlineStr">
        <is>
          <t>판관 급여영역 3과목 (직원급여·퇴직·복리)</t>
        </is>
      </c>
      <c r="C16" s="134">
        <f>손익계산서_원본!$D$26+손익계산서_원본!$D$27+손익계산서_원본!$D$28</f>
        <v/>
      </c>
      <c r="J16" s="11" t="n"/>
    </row>
    <row r="17">
      <c r="B17" s="11" t="inlineStr">
        <is>
          <t>판관 그 밖 (급여영역 제외)</t>
        </is>
      </c>
      <c r="C17" s="134">
        <f>원가구조_기준!$C$12-원가구조_기준!$C$16</f>
        <v/>
      </c>
      <c r="J17" s="11" t="n"/>
    </row>
    <row r="18">
      <c r="B18" s="11" t="inlineStr">
        <is>
          <t>지급수수료</t>
        </is>
      </c>
      <c r="C18" s="134">
        <f>손익계산서_원본!$D$42</f>
        <v/>
      </c>
      <c r="J18" s="11" t="n"/>
    </row>
    <row r="19">
      <c r="B19" s="11" t="inlineStr">
        <is>
          <t>판관 그 밖 13과목 (지급수수료 제외)</t>
        </is>
      </c>
      <c r="C19" s="134">
        <f>원가구조_기준!$C$17-원가구조_기준!$C$18</f>
        <v/>
      </c>
      <c r="J19" s="11" t="n"/>
    </row>
    <row r="20">
      <c r="B20" s="11" t="inlineStr">
        <is>
          <t>운항 인건비 3과목 (주석 15)</t>
        </is>
      </c>
      <c r="C20" s="134">
        <f>손익계산서_원본!$D$12+손익계산서_원본!$D$13+손익계산서_원본!$D$14</f>
        <v/>
      </c>
      <c r="J20" s="11" t="inlineStr">
        <is>
          <t>해상직(선원+승무원) 인건비</t>
        </is>
      </c>
    </row>
    <row r="21">
      <c r="B21" s="11" t="inlineStr">
        <is>
          <t>전사 인건비</t>
        </is>
      </c>
      <c r="C21" s="134">
        <f>원가구조_기준!$C$16+원가구조_기준!$C$20</f>
        <v/>
      </c>
      <c r="J21" s="11" t="n"/>
    </row>
    <row r="22">
      <c r="B22" s="11" t="inlineStr">
        <is>
          <t>운항 세금과공과 + 임차료</t>
        </is>
      </c>
      <c r="C22" s="134">
        <f>손익계산서_원본!$D$16+손익계산서_원본!$D$17</f>
        <v/>
      </c>
      <c r="J22" s="11" t="n"/>
    </row>
    <row r="23">
      <c r="B23" s="11" t="inlineStr">
        <is>
          <t>주석 15에 기재된 운항원가</t>
        </is>
      </c>
      <c r="C23" s="134">
        <f>원가구조_기준!$C$20+원가구조_기준!$C$14+원가구조_기준!$C$22</f>
        <v/>
      </c>
      <c r="J23" s="11" t="n"/>
    </row>
    <row r="24">
      <c r="B24" s="50" t="inlineStr">
        <is>
          <t>운항기타 (주석 미기재 잔액)</t>
        </is>
      </c>
      <c r="C24" s="139">
        <f>원가구조_기준!$C$11-원가구조_기준!$C$23</f>
        <v/>
      </c>
      <c r="J24" s="11" t="inlineStr">
        <is>
          <t>연료·항비·수선비 등 — 보고서에 갈라 적혀 있지 않다</t>
        </is>
      </c>
    </row>
    <row r="25" ht="16.5" customHeight="1">
      <c r="B25" s="24" t="inlineStr">
        <is>
          <t>2. 인력 · 1인당 인건비</t>
        </is>
      </c>
    </row>
    <row r="26">
      <c r="B26" s="122" t="inlineStr">
        <is>
          <t>항목</t>
        </is>
      </c>
      <c r="C26" s="122" t="inlineStr">
        <is>
          <t>값</t>
        </is>
      </c>
      <c r="D26" s="116" t="n"/>
      <c r="E26" s="116" t="n"/>
      <c r="F26" s="116" t="n"/>
      <c r="G26" s="116" t="n"/>
      <c r="H26" s="116" t="n"/>
      <c r="I26" s="116" t="n"/>
      <c r="J26" s="122" t="inlineStr">
        <is>
          <t>산식</t>
        </is>
      </c>
    </row>
    <row r="27">
      <c r="B27" s="11" t="inlineStr">
        <is>
          <t>판관 급여영역 1인당 (퇴직 포함)</t>
        </is>
      </c>
      <c r="C27" s="134">
        <f>원가구조_기준!$C$16/설정값!$D$90</f>
        <v/>
      </c>
      <c r="J27" s="11" t="inlineStr">
        <is>
          <t>급여영역 3과목 ÷ 기준 인원 30명</t>
        </is>
      </c>
    </row>
    <row r="28">
      <c r="B28" s="50" t="inlineStr">
        <is>
          <t>지상직 1인당 현금 인건비 (연)</t>
        </is>
      </c>
      <c r="C28" s="139">
        <f>(손익계산서_원본!$D$26+손익계산서_원본!$D$28)/설정값!$D$90</f>
        <v/>
      </c>
      <c r="J28" s="9" t="inlineStr">
        <is>
          <t>(직원급여 + 복리후생비) ÷ 30 — 헤더 "1인당 인건비"</t>
        </is>
      </c>
    </row>
    <row r="29">
      <c r="B29" s="11" t="inlineStr">
        <is>
          <t>지상직 1인당 퇴직급여 (비현금)</t>
        </is>
      </c>
      <c r="C29" s="134">
        <f>손익계산서_원본!$D$27/설정값!$D$90</f>
        <v/>
      </c>
      <c r="J29" s="11" t="n"/>
    </row>
    <row r="30">
      <c r="B30" s="11" t="inlineStr">
        <is>
          <t>지상직 1인당 현금 인건비 (월)</t>
        </is>
      </c>
      <c r="C30" s="134">
        <f>원가구조_기준!$C$28/12</f>
        <v/>
      </c>
      <c r="J30" s="11" t="n"/>
    </row>
    <row r="31">
      <c r="B31" s="11" t="inlineStr">
        <is>
          <t>해상직 인원 (선원 + 승무원)</t>
        </is>
      </c>
      <c r="C31" s="55">
        <f>MAX(1,설정값!$D$9+설정값!$D$10)</f>
        <v/>
      </c>
      <c r="J31" s="11" t="n"/>
    </row>
    <row r="32">
      <c r="B32" s="11" t="inlineStr">
        <is>
          <t>해상직 1인당 인건비 (퇴직 포함)</t>
        </is>
      </c>
      <c r="C32" s="134">
        <f>원가구조_기준!$C$20/원가구조_기준!$C$31</f>
        <v/>
      </c>
      <c r="J32" s="11" t="n"/>
    </row>
    <row r="33">
      <c r="B33" s="11" t="inlineStr">
        <is>
          <t>해상직 1인당 ÷ 지상직 1인당(현금)</t>
        </is>
      </c>
      <c r="C33" s="141">
        <f>원가구조_기준!$C$32/원가구조_기준!$C$28</f>
        <v/>
      </c>
      <c r="J33" s="11" t="n"/>
    </row>
    <row r="34">
      <c r="B34" s="11" t="inlineStr">
        <is>
          <t>판관 급여영역 (설정 지상직 인원 기준)</t>
        </is>
      </c>
      <c r="C34" s="134">
        <f>설정값!$D$8*원가구조_기준!$C$27</f>
        <v/>
      </c>
      <c r="J34" s="11" t="inlineStr">
        <is>
          <t>지상직 × 1인당 — 판관 급여영역만 직원 수에 따라 움직인다</t>
        </is>
      </c>
    </row>
    <row r="35" ht="16.5" customHeight="1">
      <c r="B35" s="24" t="inlineStr">
        <is>
          <t>3. 좌석 등급 · 실현 단가 · 승객수</t>
        </is>
      </c>
    </row>
    <row r="36">
      <c r="B36" s="122" t="inlineStr">
        <is>
          <t>등급</t>
        </is>
      </c>
      <c r="C36" s="122" t="inlineStr">
        <is>
          <t>운임</t>
        </is>
      </c>
      <c r="D36" s="122" t="inlineStr">
        <is>
          <t>배율</t>
        </is>
      </c>
      <c r="E36" s="122" t="inlineStr">
        <is>
          <t>구성비</t>
        </is>
      </c>
      <c r="F36" s="116" t="n"/>
      <c r="G36" s="116" t="n"/>
      <c r="H36" s="116" t="n"/>
      <c r="I36" s="116" t="n"/>
      <c r="J36" s="122" t="inlineStr">
        <is>
          <t>비고</t>
        </is>
      </c>
    </row>
    <row r="37">
      <c r="B37" s="11" t="inlineStr">
        <is>
          <t>이코노미</t>
        </is>
      </c>
      <c r="C37" s="134">
        <f>설정값!$D$12*운임_화물_선박!$C$12</f>
        <v/>
      </c>
      <c r="D37" s="142">
        <f>운임_화물_선박!$C$12</f>
        <v/>
      </c>
      <c r="E37" s="135">
        <f>MAX(0,설정값!$D$14)</f>
        <v/>
      </c>
      <c r="J37" s="101" t="n"/>
    </row>
    <row r="38">
      <c r="B38" s="11" t="inlineStr">
        <is>
          <t>비즈니스</t>
        </is>
      </c>
      <c r="C38" s="134">
        <f>설정값!$D$12*운임_화물_선박!$E$12</f>
        <v/>
      </c>
      <c r="D38" s="142">
        <f>운임_화물_선박!$E$12</f>
        <v/>
      </c>
      <c r="E38" s="135">
        <f>MAX(0,설정값!$D$15)</f>
        <v/>
      </c>
      <c r="J38" s="101" t="n"/>
    </row>
    <row r="39">
      <c r="B39" s="11" t="inlineStr">
        <is>
          <t>퍼스트</t>
        </is>
      </c>
      <c r="C39" s="134">
        <f>설정값!$D$12*운임_화물_선박!$G$12</f>
        <v/>
      </c>
      <c r="D39" s="142">
        <f>운임_화물_선박!$G$12</f>
        <v/>
      </c>
      <c r="E39" s="135">
        <f>MAX(0,설정값!$D$16)</f>
        <v/>
      </c>
      <c r="J39" s="101" t="n"/>
    </row>
    <row r="40">
      <c r="B40" s="11" t="inlineStr">
        <is>
          <t>구성비 합계</t>
        </is>
      </c>
      <c r="C40" s="135">
        <f>SUM(E37:E39)</f>
        <v/>
      </c>
      <c r="D40" s="101" t="n"/>
      <c r="E40" s="101" t="n"/>
      <c r="J40" s="11" t="n"/>
    </row>
    <row r="41">
      <c r="B41" s="11" t="inlineStr">
        <is>
          <t>배율 × 구성비 합</t>
        </is>
      </c>
      <c r="C41" s="142">
        <f>SUMPRODUCT(D37:D39,E37:E39)</f>
        <v/>
      </c>
      <c r="D41" s="101" t="n"/>
      <c r="E41" s="101" t="n"/>
      <c r="J41" s="11" t="n"/>
    </row>
    <row r="42">
      <c r="B42" s="11" t="inlineStr">
        <is>
          <t>가중평균 운임</t>
        </is>
      </c>
      <c r="C42" s="134">
        <f>IF(원가구조_기준!$C$41&gt;0,설정값!$D$12*원가구조_기준!$C$41/원가구조_기준!$C$40,설정값!$D$12)</f>
        <v/>
      </c>
      <c r="D42" s="101" t="n"/>
      <c r="E42" s="101" t="n"/>
      <c r="J42" s="11" t="inlineStr">
        <is>
          <t>구성비가 비면 이코노미 단일 운임</t>
        </is>
      </c>
    </row>
    <row r="43">
      <c r="B43" s="9" t="inlineStr">
        <is>
          <t>(+) 유류할증료</t>
        </is>
      </c>
      <c r="C43" s="134">
        <f>설정값!$D$13</f>
        <v/>
      </c>
      <c r="D43" s="101" t="n"/>
      <c r="E43" s="101" t="n"/>
      <c r="J43" s="11" t="n"/>
    </row>
    <row r="44">
      <c r="B44" s="58" t="inlineStr">
        <is>
          <t>＝ 실현 단가 (P)</t>
        </is>
      </c>
      <c r="C44" s="136">
        <f>원가구조_기준!$C$42+원가구조_기준!$C$43</f>
        <v/>
      </c>
      <c r="D44" s="101" t="n"/>
      <c r="E44" s="101" t="n"/>
      <c r="J44" s="11" t="inlineStr">
        <is>
          <t>유류할증료는 회계상 여객수입에 들어가므로 단가에 더한다</t>
        </is>
      </c>
    </row>
    <row r="45">
      <c r="B45" s="50" t="inlineStr">
        <is>
          <t>실적 역산 승객수 (환산 유상여객)</t>
        </is>
      </c>
      <c r="C45" s="59">
        <f>원가구조_기준!$C$6/원가구조_기준!$C$44</f>
        <v/>
      </c>
      <c r="D45" s="101" t="n"/>
      <c r="E45" s="101" t="n"/>
      <c r="J45" s="11" t="inlineStr">
        <is>
          <t>여객수입 12,814백만 ÷ 실현 단가 — 실제 탑승 인원이 아니라 환산 단위</t>
        </is>
      </c>
    </row>
    <row r="46">
      <c r="B46" s="11" t="inlineStr">
        <is>
          <t>시뮬레이션 승객수</t>
        </is>
      </c>
      <c r="C46" s="55">
        <f>IF(설정값!$D$20="",ROUND(원가구조_기준!$C$6/원가구조_기준!$C$42,0),MAX(0,ROUND(설정값!$D$20,0)))</f>
        <v/>
      </c>
      <c r="D46" s="101" t="n"/>
      <c r="E46" s="101" t="n"/>
      <c r="J46" s="11" t="inlineStr">
        <is>
          <t>설정값이 비어 있으면  첫 화면 규칙: 여객수입 ÷ 가중평균 운임(유류할증 제외) = 158,197명. 실적 역산값으로 보려면 설정값에 144,058 입력</t>
        </is>
      </c>
    </row>
    <row r="47">
      <c r="B47" s="11" t="inlineStr">
        <is>
          <t>참조 선박 정원</t>
        </is>
      </c>
      <c r="C47" s="55">
        <f>운임_화물_선박!$G$18</f>
        <v/>
      </c>
      <c r="D47" s="101" t="n"/>
      <c r="E47" s="101" t="n"/>
      <c r="J47" s="11" t="inlineStr">
        <is>
          <t>엘도라도 익스프레스호</t>
        </is>
      </c>
    </row>
    <row r="48">
      <c r="B48" s="11" t="inlineStr">
        <is>
          <t>승선율</t>
        </is>
      </c>
      <c r="C48" s="135">
        <f>원가구조_기준!$C$46/(원가구조_기준!$C$47*설정값!$D$11)</f>
        <v/>
      </c>
      <c r="D48" s="101" t="n"/>
      <c r="E48" s="101" t="n"/>
      <c r="J48" s="11" t="inlineStr">
        <is>
          <t>승객수 ÷ (정원 × 항차수)</t>
        </is>
      </c>
    </row>
    <row r="49">
      <c r="B49" s="11" t="inlineStr">
        <is>
          <t>항차당 승객</t>
        </is>
      </c>
      <c r="C49" s="55">
        <f>원가구조_기준!$C$46/설정값!$D$11</f>
        <v/>
      </c>
      <c r="D49" s="101" t="n"/>
      <c r="E49" s="101" t="n"/>
      <c r="J49" s="11" t="n"/>
    </row>
    <row r="50">
      <c r="B50" s="11" t="inlineStr">
        <is>
          <t>가동율 (편도 항차)</t>
        </is>
      </c>
      <c r="C50" s="135">
        <f>설정값!$D$11/설정값!$D$91</f>
        <v/>
      </c>
      <c r="D50" s="101" t="n"/>
      <c r="E50" s="101" t="n"/>
      <c r="J50" s="11" t="inlineStr">
        <is>
          <t>항차 ÷ 730일(365×2)</t>
        </is>
      </c>
    </row>
    <row r="51" ht="16.5" customHeight="1">
      <c r="B51" s="24" t="inlineStr">
        <is>
          <t>4. 운항기타 세목 — 비율만 가정, 합계는 보고서 잔액 고정</t>
        </is>
      </c>
    </row>
    <row r="52">
      <c r="B52" s="122" t="inlineStr">
        <is>
          <t>세목</t>
        </is>
      </c>
      <c r="C52" s="122" t="inlineStr">
        <is>
          <t>금액</t>
        </is>
      </c>
      <c r="D52" s="122" t="inlineStr">
        <is>
          <t>입력 비율</t>
        </is>
      </c>
      <c r="E52" s="122" t="inlineStr">
        <is>
          <t>정규화 비율</t>
        </is>
      </c>
      <c r="F52" s="122" t="inlineStr">
        <is>
          <t>항차당</t>
        </is>
      </c>
      <c r="G52" s="122" t="inlineStr">
        <is>
          <t>구분</t>
        </is>
      </c>
      <c r="H52" s="116" t="n"/>
      <c r="I52" s="116" t="n"/>
      <c r="J52" s="122" t="inlineStr">
        <is>
          <t>근거</t>
        </is>
      </c>
    </row>
    <row r="53">
      <c r="B53" s="11" t="inlineStr">
        <is>
          <t>연료비</t>
        </is>
      </c>
      <c r="C53" s="134">
        <f>IFERROR(원가구조_기준!$C$24*설정값!$D$23/(설정값!$D$23+설정값!$D$24+설정값!$D$25+설정값!$D$26+설정값!$D$27),0)</f>
        <v/>
      </c>
      <c r="D53" s="60">
        <f>설정값!$D$23</f>
        <v/>
      </c>
      <c r="E53" s="60">
        <f>IFERROR(D53/SUM($D$53:$D$57),0)</f>
        <v/>
      </c>
      <c r="F53" s="134">
        <f>C53/설정값!$D$11</f>
        <v/>
      </c>
      <c r="G53" s="11" t="inlineStr">
        <is>
          <t>운항비</t>
        </is>
      </c>
      <c r="J53" s="9" t="inlineStr">
        <is>
          <t>820$/MT · 편도 217km × 49.5kg/km · 500항차 역산 → 5,989,460,400원 · 항차에 붙는다</t>
        </is>
      </c>
    </row>
    <row r="54">
      <c r="B54" s="11" t="inlineStr">
        <is>
          <t>항비</t>
        </is>
      </c>
      <c r="C54" s="134">
        <f>IFERROR(원가구조_기준!$C$24*설정값!$D$24/(설정값!$D$23+설정값!$D$24+설정값!$D$25+설정값!$D$26+설정값!$D$27),0)</f>
        <v/>
      </c>
      <c r="D54" s="60">
        <f>설정값!$D$24</f>
        <v/>
      </c>
      <c r="E54" s="60">
        <f>IFERROR(D54/SUM($D$53:$D$57),0)</f>
        <v/>
      </c>
      <c r="F54" s="134">
        <f>C54/설정값!$D$11</f>
        <v/>
      </c>
      <c r="G54" s="11" t="inlineStr">
        <is>
          <t>운항비</t>
        </is>
      </c>
      <c r="J54" s="11" t="inlineStr">
        <is>
          <t>입출항료·접안료·도선료·터미널 — 나머지 넷을 뺀 잔액</t>
        </is>
      </c>
    </row>
    <row r="55">
      <c r="B55" s="11" t="inlineStr">
        <is>
          <t>보험료</t>
        </is>
      </c>
      <c r="C55" s="134">
        <f>IFERROR(원가구조_기준!$C$24*설정값!$D$25/(설정값!$D$23+설정값!$D$24+설정값!$D$25+설정값!$D$26+설정값!$D$27),0)</f>
        <v/>
      </c>
      <c r="D55" s="60">
        <f>설정값!$D$25</f>
        <v/>
      </c>
      <c r="E55" s="60">
        <f>IFERROR(D55/SUM($D$53:$D$57),0)</f>
        <v/>
      </c>
      <c r="F55" s="134">
        <f>C55/설정값!$D$11</f>
        <v/>
      </c>
      <c r="G55" s="11" t="inlineStr">
        <is>
          <t>선비</t>
        </is>
      </c>
      <c r="J55" s="11" t="inlineStr">
        <is>
          <t>주석 4 선박보험 부보액 73,378,500천원 × 0.5% (통상 요율) · P&amp;I 별도</t>
        </is>
      </c>
    </row>
    <row r="56">
      <c r="B56" s="11" t="inlineStr">
        <is>
          <t>수리비</t>
        </is>
      </c>
      <c r="C56" s="134">
        <f>IFERROR(원가구조_기준!$C$24*설정값!$D$26/(설정값!$D$23+설정값!$D$24+설정값!$D$25+설정값!$D$26+설정값!$D$27),0)</f>
        <v/>
      </c>
      <c r="D56" s="60">
        <f>설정값!$D$26</f>
        <v/>
      </c>
      <c r="E56" s="60">
        <f>IFERROR(D56/SUM($D$53:$D$57),0)</f>
        <v/>
      </c>
      <c r="F56" s="134">
        <f>C56/설정값!$D$11</f>
        <v/>
      </c>
      <c r="G56" s="11" t="inlineStr">
        <is>
          <t>선비</t>
        </is>
      </c>
      <c r="J56" s="11" t="inlineStr">
        <is>
          <t>선령이 낮아 보증기간·보험금 청구로 처리 — 계상액 없음 (판관비 수선비도 당기 0원)</t>
        </is>
      </c>
    </row>
    <row r="57">
      <c r="B57" s="11" t="inlineStr">
        <is>
          <t>선용품비</t>
        </is>
      </c>
      <c r="C57" s="134">
        <f>IFERROR(원가구조_기준!$C$24*설정값!$D$27/(설정값!$D$23+설정값!$D$24+설정값!$D$25+설정값!$D$26+설정값!$D$27),0)</f>
        <v/>
      </c>
      <c r="D57" s="60">
        <f>설정값!$D$27</f>
        <v/>
      </c>
      <c r="E57" s="60">
        <f>IFERROR(D57/SUM($D$53:$D$57),0)</f>
        <v/>
      </c>
      <c r="F57" s="134">
        <f>C57/설정값!$D$11</f>
        <v/>
      </c>
      <c r="G57" s="11" t="inlineStr">
        <is>
          <t>선비</t>
        </is>
      </c>
      <c r="J57" s="11" t="inlineStr">
        <is>
          <t>윤활유·소모품 — 저장품 감소분 53,922,777 → 34,438,118 (19,484,659원)</t>
        </is>
      </c>
    </row>
    <row r="58">
      <c r="B58" s="4" t="inlineStr">
        <is>
          <t>합계</t>
        </is>
      </c>
      <c r="C58" s="131">
        <f>SUM(C53:C57)</f>
        <v/>
      </c>
      <c r="D58" s="61">
        <f>SUM(D53:D57)</f>
        <v/>
      </c>
      <c r="E58" s="61">
        <f>SUM(E53:E57)</f>
        <v/>
      </c>
      <c r="F58" s="131">
        <f>C58/설정값!$D$11</f>
        <v/>
      </c>
      <c r="G58" s="101" t="n"/>
      <c r="J58" s="11" t="inlineStr">
        <is>
          <t>입력 비율 합이 100%가 아니어도 정규화 — 세목 합계는 언제나 운항기타 잔액과 같다</t>
        </is>
      </c>
    </row>
    <row r="59" ht="16.5" customHeight="1">
      <c r="B59" s="24" t="inlineStr">
        <is>
          <t>5. 원가 구성 — 고정 · 준변동 · 변동 (BEP 모형 입력)</t>
        </is>
      </c>
    </row>
    <row r="60">
      <c r="B60" s="122" t="inlineStr">
        <is>
          <t>원가 항목</t>
        </is>
      </c>
      <c r="C60" s="122" t="inlineStr">
        <is>
          <t>금액</t>
        </is>
      </c>
      <c r="D60" s="122" t="inlineStr">
        <is>
          <t>포함</t>
        </is>
      </c>
      <c r="E60" s="122" t="inlineStr">
        <is>
          <t>성격</t>
        </is>
      </c>
      <c r="F60" s="122" t="inlineStr">
        <is>
          <t>고정</t>
        </is>
      </c>
      <c r="G60" s="122" t="inlineStr">
        <is>
          <t>준변동</t>
        </is>
      </c>
      <c r="H60" s="122" t="inlineStr">
        <is>
          <t>변동</t>
        </is>
      </c>
      <c r="I60" s="122" t="inlineStr">
        <is>
          <t>그룹</t>
        </is>
      </c>
      <c r="J60" s="122" t="inlineStr">
        <is>
          <t>비고</t>
        </is>
      </c>
    </row>
    <row r="61">
      <c r="B61" s="11" t="inlineStr">
        <is>
          <t>운항 인건비 (급여·퇴직·복리)</t>
        </is>
      </c>
      <c r="C61" s="134">
        <f>원가구조_기준!$C$20</f>
        <v/>
      </c>
      <c r="D61" s="37">
        <f>설정값!$D$30</f>
        <v/>
      </c>
      <c r="E61" s="37">
        <f>설정값!$E$30</f>
        <v/>
      </c>
      <c r="F61" s="134">
        <f>IF(AND($D61="O",$E61="고정"),$C61,0)</f>
        <v/>
      </c>
      <c r="G61" s="134">
        <f>IF(AND($D61="O",$E61="준변동"),$C61,0)</f>
        <v/>
      </c>
      <c r="H61" s="134">
        <f>IF(AND($D61="O",$E61="변동"),$C61,0)</f>
        <v/>
      </c>
      <c r="I61" s="62" t="inlineStr">
        <is>
          <t>op</t>
        </is>
      </c>
      <c r="J61" s="11" t="inlineStr">
        <is>
          <t>선원+승무원 · 승객수 무관</t>
        </is>
      </c>
    </row>
    <row r="62">
      <c r="B62" s="11" t="inlineStr">
        <is>
          <t>운항 감가상각비</t>
        </is>
      </c>
      <c r="C62" s="134">
        <f>원가구조_기준!$C$14</f>
        <v/>
      </c>
      <c r="D62" s="37">
        <f>설정값!$D$31</f>
        <v/>
      </c>
      <c r="E62" s="37">
        <f>설정값!$E$31</f>
        <v/>
      </c>
      <c r="F62" s="134">
        <f>IF(AND($D62="O",$E62="고정"),$C62,0)</f>
        <v/>
      </c>
      <c r="G62" s="134">
        <f>IF(AND($D62="O",$E62="준변동"),$C62,0)</f>
        <v/>
      </c>
      <c r="H62" s="134">
        <f>IF(AND($D62="O",$E62="변동"),$C62,0)</f>
        <v/>
      </c>
      <c r="I62" s="62" t="inlineStr">
        <is>
          <t>op</t>
        </is>
      </c>
      <c r="J62" s="9" t="inlineStr">
        <is>
          <t>20년 정액 · 비현금 · 포함을 X로 두면 EBITDA 기준</t>
        </is>
      </c>
    </row>
    <row r="63">
      <c r="B63" s="11" t="inlineStr">
        <is>
          <t>운항 세금과공과·임차료</t>
        </is>
      </c>
      <c r="C63" s="134">
        <f>원가구조_기준!$C$22</f>
        <v/>
      </c>
      <c r="D63" s="37">
        <f>설정값!$D$32</f>
        <v/>
      </c>
      <c r="E63" s="37">
        <f>설정값!$E$32</f>
        <v/>
      </c>
      <c r="F63" s="134">
        <f>IF(AND($D63="O",$E63="고정"),$C63,0)</f>
        <v/>
      </c>
      <c r="G63" s="134">
        <f>IF(AND($D63="O",$E63="준변동"),$C63,0)</f>
        <v/>
      </c>
      <c r="H63" s="134">
        <f>IF(AND($D63="O",$E63="변동"),$C63,0)</f>
        <v/>
      </c>
      <c r="I63" s="62" t="inlineStr">
        <is>
          <t>op</t>
        </is>
      </c>
      <c r="J63" s="11" t="n"/>
    </row>
    <row r="64">
      <c r="B64" s="11" t="inlineStr">
        <is>
          <t>운항기타 (항비·연료비·잡비)</t>
        </is>
      </c>
      <c r="C64" s="134">
        <f>원가구조_기준!$C$24</f>
        <v/>
      </c>
      <c r="D64" s="37">
        <f>설정값!$D$33</f>
        <v/>
      </c>
      <c r="E64" s="37">
        <f>설정값!$E$33</f>
        <v/>
      </c>
      <c r="F64" s="134">
        <f>IF(AND($D64="O",$E64="고정"),$C64,0)</f>
        <v/>
      </c>
      <c r="G64" s="134">
        <f>IF(AND($D64="O",$E64="준변동"),$C64,0)</f>
        <v/>
      </c>
      <c r="H64" s="134">
        <f>IF(AND($D64="O",$E64="변동"),$C64,0)</f>
        <v/>
      </c>
      <c r="I64" s="62" t="inlineStr">
        <is>
          <t>op</t>
        </is>
      </c>
      <c r="J64" s="11" t="inlineStr">
        <is>
          <t>운항원가의 58% · 항차 연동</t>
        </is>
      </c>
    </row>
    <row r="65">
      <c r="B65" s="11" t="inlineStr">
        <is>
          <t>판관 급여영역</t>
        </is>
      </c>
      <c r="C65" s="134">
        <f>원가구조_기준!$C$34</f>
        <v/>
      </c>
      <c r="D65" s="37">
        <f>설정값!$D$34</f>
        <v/>
      </c>
      <c r="E65" s="37">
        <f>설정값!$E$34</f>
        <v/>
      </c>
      <c r="F65" s="134">
        <f>IF(AND($D65="O",$E65="고정"),$C65,0)</f>
        <v/>
      </c>
      <c r="G65" s="134">
        <f>IF(AND($D65="O",$E65="준변동"),$C65,0)</f>
        <v/>
      </c>
      <c r="H65" s="134">
        <f>IF(AND($D65="O",$E65="변동"),$C65,0)</f>
        <v/>
      </c>
      <c r="I65" s="62" t="inlineStr">
        <is>
          <t>sga</t>
        </is>
      </c>
      <c r="J65" s="11" t="inlineStr">
        <is>
          <t>직원 수 연동 · 승객수 무관</t>
        </is>
      </c>
    </row>
    <row r="66">
      <c r="B66" s="11" t="inlineStr">
        <is>
          <t>판관 그 밖 13과목</t>
        </is>
      </c>
      <c r="C66" s="134">
        <f>원가구조_기준!$C$19</f>
        <v/>
      </c>
      <c r="D66" s="37">
        <f>설정값!$D$35</f>
        <v/>
      </c>
      <c r="E66" s="37">
        <f>설정값!$E$35</f>
        <v/>
      </c>
      <c r="F66" s="134">
        <f>IF(AND($D66="O",$E66="고정"),$C66,0)</f>
        <v/>
      </c>
      <c r="G66" s="134">
        <f>IF(AND($D66="O",$E66="준변동"),$C66,0)</f>
        <v/>
      </c>
      <c r="H66" s="134">
        <f>IF(AND($D66="O",$E66="변동"),$C66,0)</f>
        <v/>
      </c>
      <c r="I66" s="62" t="inlineStr">
        <is>
          <t>sga</t>
        </is>
      </c>
      <c r="J66" s="11" t="n"/>
    </row>
    <row r="67">
      <c r="B67" s="11" t="inlineStr">
        <is>
          <t>지급수수료</t>
        </is>
      </c>
      <c r="C67" s="134">
        <f>원가구조_기준!$C$18</f>
        <v/>
      </c>
      <c r="D67" s="37">
        <f>설정값!$D$36</f>
        <v/>
      </c>
      <c r="E67" s="37">
        <f>설정값!$E$36</f>
        <v/>
      </c>
      <c r="F67" s="134">
        <f>IF(AND($D67="O",$E67="고정"),$C67,0)</f>
        <v/>
      </c>
      <c r="G67" s="134">
        <f>IF(AND($D67="O",$E67="준변동"),$C67,0)</f>
        <v/>
      </c>
      <c r="H67" s="134">
        <f>IF(AND($D67="O",$E67="변동"),$C67,0)</f>
        <v/>
      </c>
      <c r="I67" s="62" t="inlineStr">
        <is>
          <t>sga</t>
        </is>
      </c>
      <c r="J67" s="11" t="inlineStr">
        <is>
          <t>예약·결제 수수료 · 승객 연동</t>
        </is>
      </c>
    </row>
    <row r="68">
      <c r="B68" s="112" t="inlineStr">
        <is>
          <t>합계</t>
        </is>
      </c>
      <c r="C68" s="143">
        <f>SUM(C61:C67)</f>
        <v/>
      </c>
      <c r="F68" s="143">
        <f>SUM(F61:F67)</f>
        <v/>
      </c>
      <c r="G68" s="143">
        <f>SUM(G61:G67)</f>
        <v/>
      </c>
      <c r="H68" s="143">
        <f>SUM(H61:H67)</f>
        <v/>
      </c>
    </row>
    <row r="69">
      <c r="B69" s="11" t="inlineStr">
        <is>
          <t xml:space="preserve">  └ 운항원가 몫</t>
        </is>
      </c>
      <c r="F69" s="134">
        <f>SUMIF($I$61:$I$67,"op",F61:F67)</f>
        <v/>
      </c>
      <c r="G69" s="134">
        <f>SUMIF($I$61:$I$67,"op",G61:G67)</f>
        <v/>
      </c>
      <c r="H69" s="134">
        <f>SUMIF($I$61:$I$67,"op",H61:H67)</f>
        <v/>
      </c>
    </row>
    <row r="70">
      <c r="B70" s="11" t="inlineStr">
        <is>
          <t xml:space="preserve">  └ 판관비 몫</t>
        </is>
      </c>
      <c r="F70" s="134">
        <f>SUMIF($I$61:$I$67,"sga",F61:F67)</f>
        <v/>
      </c>
      <c r="G70" s="134">
        <f>SUMIF($I$61:$I$67,"sga",G61:G67)</f>
        <v/>
      </c>
      <c r="H70" s="134">
        <f>SUMIF($I$61:$I$67,"sga",H61:H67)</f>
        <v/>
      </c>
    </row>
    <row r="72">
      <c r="B72" s="11" t="inlineStr">
        <is>
          <t>준변동비 항차당 단가</t>
        </is>
      </c>
      <c r="C72" s="134">
        <f>원가구조_기준!$G$68/설정값!$D$11</f>
        <v/>
      </c>
      <c r="J72" s="3" t="inlineStr">
        <is>
          <t>준변동비 ÷ 설정 항차 — 기준점에서 다시 곱하면 원래 금액</t>
        </is>
      </c>
    </row>
    <row r="73">
      <c r="B73" s="11" t="inlineStr">
        <is>
          <t>변동비 승객당 단가</t>
        </is>
      </c>
      <c r="C73" s="134">
        <f>IF(원가구조_기준!$C$45&gt;0,원가구조_기준!$H$68/원가구조_기준!$C$45,0)</f>
        <v/>
      </c>
      <c r="J73" s="3" t="inlineStr">
        <is>
          <t>변동비 ÷ 실적 역산 승객수</t>
        </is>
      </c>
    </row>
    <row r="74">
      <c r="B74" s="50" t="inlineStr">
        <is>
          <t>승객 1인 증가분 (v)</t>
        </is>
      </c>
      <c r="C74" s="139">
        <f>원가구조_기준!$C$73+설정값!$D$17</f>
        <v/>
      </c>
      <c r="J74" s="3" t="inlineStr">
        <is>
          <t>변동비 단가 + 수동 추가 변동비</t>
        </is>
      </c>
    </row>
    <row r="75">
      <c r="B75" s="11" t="inlineStr">
        <is>
          <t>공헌이익률</t>
        </is>
      </c>
      <c r="C75" s="135">
        <f>1-원가구조_기준!$C$74/원가구조_기준!$C$44</f>
        <v/>
      </c>
      <c r="J75" s="21" t="inlineStr">
        <is>
          <t>(운임 − 변동비) ÷ 운임 — 고정·준변동을 메우러 가는 몫</t>
        </is>
      </c>
    </row>
    <row r="76">
      <c r="B76" s="9" t="inlineStr">
        <is>
          <t>EBITDA 기준 여부</t>
        </is>
      </c>
      <c r="C76" s="11">
        <f>IF(설정값!$D$31="X","EBITDA 기준 (감가상각 제외)","회계 기준")</f>
        <v/>
      </c>
      <c r="J76" s="3" t="n"/>
    </row>
    <row r="77" ht="16.5" customHeight="1">
      <c r="B77" s="24" t="inlineStr">
        <is>
          <t>6. 시뮬레이션 승객수에서의 원가 ( "원가 구조 — 고정·변동 분해")</t>
        </is>
      </c>
    </row>
    <row r="78">
      <c r="B78" s="122" t="inlineStr">
        <is>
          <t>원가 항목</t>
        </is>
      </c>
      <c r="C78" s="122" t="inlineStr">
        <is>
          <t>금액</t>
        </is>
      </c>
      <c r="D78" s="122" t="inlineStr">
        <is>
          <t>비중</t>
        </is>
      </c>
      <c r="E78" s="122" t="inlineStr">
        <is>
          <t>성격</t>
        </is>
      </c>
      <c r="F78" s="122" t="inlineStr">
        <is>
          <t>동인</t>
        </is>
      </c>
      <c r="G78" s="116" t="n"/>
      <c r="H78" s="116" t="n"/>
      <c r="I78" s="116" t="n"/>
      <c r="J78" s="116" t="n"/>
    </row>
    <row r="79">
      <c r="B79" s="11" t="inlineStr">
        <is>
          <t>적용 항차 (승객이 정원을 넘으면 증가)</t>
        </is>
      </c>
      <c r="C79" s="55">
        <f>IF(AND(설정값!$D$18="O",원가구조_기준!$C$47&gt;0),MAX(설정값!$D$11,CEILING(원가구조_기준!$C$46/원가구조_기준!$C$47,1)),설정값!$D$11)</f>
        <v/>
      </c>
      <c r="D79" s="101" t="n"/>
      <c r="E79" s="101" t="n"/>
      <c r="F79" s="101" t="n"/>
      <c r="J79" s="3" t="n"/>
    </row>
    <row r="80">
      <c r="B80" s="11" t="inlineStr">
        <is>
          <t>운항 인건비 (급여·퇴직·복리)</t>
        </is>
      </c>
      <c r="C80" s="134">
        <f>IF(D61&lt;&gt;"O",0,IF(E61="준변동",C61/설정값!$D$11*원가구조_기준!$C$79,IF(E61="변동",C61/원가구조_기준!$C$45*원가구조_기준!$C$46,C61)))</f>
        <v/>
      </c>
      <c r="D80" s="135">
        <f>IFERROR(C80/$C$88,0)</f>
        <v/>
      </c>
      <c r="E80" s="37">
        <f>E61</f>
        <v/>
      </c>
      <c r="F80" s="11">
        <f>IF(E61="준변동",TEXT(C61/설정값!$D$11,"#,##0")&amp;"원/항차 × "&amp;TEXT(원가구조_기준!$C$79,"#,##0")&amp;"항차",IF(E61="변동",TEXT(C61/원가구조_기준!$C$45,"#,##0")&amp;"원/인 × "&amp;TEXT(원가구조_기준!$C$46,"#,##0")&amp;"명","승객·항차와 무관"))</f>
        <v/>
      </c>
    </row>
    <row r="81">
      <c r="B81" s="11" t="inlineStr">
        <is>
          <t>운항 감가상각비</t>
        </is>
      </c>
      <c r="C81" s="134">
        <f>IF(D62&lt;&gt;"O",0,IF(E62="준변동",C62/설정값!$D$11*원가구조_기준!$C$79,IF(E62="변동",C62/원가구조_기준!$C$45*원가구조_기준!$C$46,C62)))</f>
        <v/>
      </c>
      <c r="D81" s="135">
        <f>IFERROR(C81/$C$88,0)</f>
        <v/>
      </c>
      <c r="E81" s="37">
        <f>E62</f>
        <v/>
      </c>
      <c r="F81" s="11">
        <f>IF(E62="준변동",TEXT(C62/설정값!$D$11,"#,##0")&amp;"원/항차 × "&amp;TEXT(원가구조_기준!$C$79,"#,##0")&amp;"항차",IF(E62="변동",TEXT(C62/원가구조_기준!$C$45,"#,##0")&amp;"원/인 × "&amp;TEXT(원가구조_기준!$C$46,"#,##0")&amp;"명","승객·항차와 무관"))</f>
        <v/>
      </c>
    </row>
    <row r="82">
      <c r="B82" s="11" t="inlineStr">
        <is>
          <t>운항 세금과공과·임차료</t>
        </is>
      </c>
      <c r="C82" s="134">
        <f>IF(D63&lt;&gt;"O",0,IF(E63="준변동",C63/설정값!$D$11*원가구조_기준!$C$79,IF(E63="변동",C63/원가구조_기준!$C$45*원가구조_기준!$C$46,C63)))</f>
        <v/>
      </c>
      <c r="D82" s="135">
        <f>IFERROR(C82/$C$88,0)</f>
        <v/>
      </c>
      <c r="E82" s="37">
        <f>E63</f>
        <v/>
      </c>
      <c r="F82" s="11">
        <f>IF(E63="준변동",TEXT(C63/설정값!$D$11,"#,##0")&amp;"원/항차 × "&amp;TEXT(원가구조_기준!$C$79,"#,##0")&amp;"항차",IF(E63="변동",TEXT(C63/원가구조_기준!$C$45,"#,##0")&amp;"원/인 × "&amp;TEXT(원가구조_기준!$C$46,"#,##0")&amp;"명","승객·항차와 무관"))</f>
        <v/>
      </c>
    </row>
    <row r="83">
      <c r="B83" s="11" t="inlineStr">
        <is>
          <t>운항기타 (항비·연료비·잡비)</t>
        </is>
      </c>
      <c r="C83" s="134">
        <f>IF(D64&lt;&gt;"O",0,IF(E64="준변동",C64/설정값!$D$11*원가구조_기준!$C$79,IF(E64="변동",C64/원가구조_기준!$C$45*원가구조_기준!$C$46,C64)))</f>
        <v/>
      </c>
      <c r="D83" s="135">
        <f>IFERROR(C83/$C$88,0)</f>
        <v/>
      </c>
      <c r="E83" s="37">
        <f>E64</f>
        <v/>
      </c>
      <c r="F83" s="11">
        <f>IF(E64="준변동",TEXT(C64/설정값!$D$11,"#,##0")&amp;"원/항차 × "&amp;TEXT(원가구조_기준!$C$79,"#,##0")&amp;"항차",IF(E64="변동",TEXT(C64/원가구조_기준!$C$45,"#,##0")&amp;"원/인 × "&amp;TEXT(원가구조_기준!$C$46,"#,##0")&amp;"명","승객·항차와 무관"))</f>
        <v/>
      </c>
    </row>
    <row r="84">
      <c r="B84" s="11" t="inlineStr">
        <is>
          <t>판관 급여영역</t>
        </is>
      </c>
      <c r="C84" s="134">
        <f>IF(D65&lt;&gt;"O",0,IF(E65="준변동",C65/설정값!$D$11*원가구조_기준!$C$79,IF(E65="변동",C65/원가구조_기준!$C$45*원가구조_기준!$C$46,C65)))</f>
        <v/>
      </c>
      <c r="D84" s="135">
        <f>IFERROR(C84/$C$88,0)</f>
        <v/>
      </c>
      <c r="E84" s="37">
        <f>E65</f>
        <v/>
      </c>
      <c r="F84" s="11">
        <f>IF(E65="준변동",TEXT(C65/설정값!$D$11,"#,##0")&amp;"원/항차 × "&amp;TEXT(원가구조_기준!$C$79,"#,##0")&amp;"항차",IF(E65="변동",TEXT(C65/원가구조_기준!$C$45,"#,##0")&amp;"원/인 × "&amp;TEXT(원가구조_기준!$C$46,"#,##0")&amp;"명","승객·항차와 무관"))</f>
        <v/>
      </c>
    </row>
    <row r="85">
      <c r="B85" s="11" t="inlineStr">
        <is>
          <t>판관 그 밖 13과목</t>
        </is>
      </c>
      <c r="C85" s="134">
        <f>IF(D66&lt;&gt;"O",0,IF(E66="준변동",C66/설정값!$D$11*원가구조_기준!$C$79,IF(E66="변동",C66/원가구조_기준!$C$45*원가구조_기준!$C$46,C66)))</f>
        <v/>
      </c>
      <c r="D85" s="135">
        <f>IFERROR(C85/$C$88,0)</f>
        <v/>
      </c>
      <c r="E85" s="37">
        <f>E66</f>
        <v/>
      </c>
      <c r="F85" s="11">
        <f>IF(E66="준변동",TEXT(C66/설정값!$D$11,"#,##0")&amp;"원/항차 × "&amp;TEXT(원가구조_기준!$C$79,"#,##0")&amp;"항차",IF(E66="변동",TEXT(C66/원가구조_기준!$C$45,"#,##0")&amp;"원/인 × "&amp;TEXT(원가구조_기준!$C$46,"#,##0")&amp;"명","승객·항차와 무관"))</f>
        <v/>
      </c>
    </row>
    <row r="86">
      <c r="B86" s="11" t="inlineStr">
        <is>
          <t>지급수수료</t>
        </is>
      </c>
      <c r="C86" s="134">
        <f>IF(D67&lt;&gt;"O",0,IF(E67="준변동",C67/설정값!$D$11*원가구조_기준!$C$79,IF(E67="변동",C67/원가구조_기준!$C$45*원가구조_기준!$C$46,C67)))</f>
        <v/>
      </c>
      <c r="D86" s="135">
        <f>IFERROR(C86/$C$88,0)</f>
        <v/>
      </c>
      <c r="E86" s="37">
        <f>E67</f>
        <v/>
      </c>
      <c r="F86" s="11">
        <f>IF(E67="준변동",TEXT(C67/설정값!$D$11,"#,##0")&amp;"원/항차 × "&amp;TEXT(원가구조_기준!$C$79,"#,##0")&amp;"항차",IF(E67="변동",TEXT(C67/원가구조_기준!$C$45,"#,##0")&amp;"원/인 × "&amp;TEXT(원가구조_기준!$C$46,"#,##0")&amp;"명","승객·항차와 무관"))</f>
        <v/>
      </c>
    </row>
    <row r="87">
      <c r="B87" s="11" t="inlineStr">
        <is>
          <t>승객 1인당 추가 변동비</t>
        </is>
      </c>
      <c r="C87" s="134">
        <f>설정값!$D$17*원가구조_기준!$C$46</f>
        <v/>
      </c>
      <c r="D87" s="135">
        <f>IFERROR(C87/$C$88,0)</f>
        <v/>
      </c>
      <c r="E87" s="101" t="n"/>
      <c r="F87" s="101" t="n"/>
    </row>
    <row r="88">
      <c r="B88" s="112" t="inlineStr">
        <is>
          <t>총비용</t>
        </is>
      </c>
      <c r="C88" s="143">
        <f>SUM(C80:C87)</f>
        <v/>
      </c>
      <c r="D88" s="144">
        <f>SUM(D80:D87)</f>
        <v/>
      </c>
    </row>
  </sheetData>
  <pageMargins left="0.75" right="0.75" top="1" bottom="1" header="0.511811023622047" footer="0.511811023622047"/>
  <pageSetup orientation="landscape" fitToHeight="0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1:J131"/>
  <sheetViews>
    <sheetView zoomScale="85" zoomScaleNormal="85" workbookViewId="0">
      <pane xSplit="2" ySplit="3" topLeftCell="C113" activePane="bottomRight" state="frozen"/>
      <selection pane="topRight" activeCell="C1" sqref="C1"/>
      <selection pane="bottomLeft" activeCell="A4" sqref="A4"/>
      <selection pane="bottomRight" activeCell="J121" sqref="J121"/>
    </sheetView>
  </sheetViews>
  <sheetFormatPr baseColWidth="8" defaultColWidth="8.7109375" defaultRowHeight="15"/>
  <cols>
    <col width="2" customWidth="1" min="1" max="1"/>
    <col width="38" customWidth="1" min="2" max="2"/>
    <col width="18" customWidth="1" min="3" max="3"/>
    <col width="11" customWidth="1" min="4" max="5"/>
    <col width="16" customWidth="1" min="6" max="9"/>
    <col width="70" customWidth="1" min="10" max="10"/>
  </cols>
  <sheetData>
    <row r="1" ht="26.25" customHeight="1">
      <c r="B1" s="2" t="inlineStr">
        <is>
          <t>손익계산서 — 대조 선박 (하카타 항로 투입 시나리오 · 단일연도)</t>
        </is>
      </c>
    </row>
    <row r="2">
      <c r="B2" s="3" t="inlineStr">
        <is>
          <t>감사보고서 원가 구조 위에 대조 선박의 인력·항차·운임·선가·차입 조건을 얹어 다시 세운 손익. 단위: 원</t>
        </is>
      </c>
    </row>
    <row r="4" ht="16.5" customHeight="1">
      <c r="B4" s="24" t="inlineStr">
        <is>
          <t>1. 대조 선박 파생값 (스케일 규칙)</t>
        </is>
      </c>
    </row>
    <row r="5">
      <c r="B5" s="122" t="inlineStr">
        <is>
          <t>항목</t>
        </is>
      </c>
      <c r="C5" s="122" t="inlineStr">
        <is>
          <t>값</t>
        </is>
      </c>
      <c r="D5" s="116" t="n"/>
      <c r="E5" s="116" t="n"/>
      <c r="F5" s="116" t="n"/>
      <c r="G5" s="116" t="n"/>
      <c r="H5" s="116" t="n"/>
      <c r="I5" s="116" t="n"/>
      <c r="J5" s="122" t="inlineStr">
        <is>
          <t>산식 · 규칙</t>
        </is>
      </c>
    </row>
    <row r="6">
      <c r="B6" s="11" t="inlineStr">
        <is>
          <t>대조 선박</t>
        </is>
      </c>
      <c r="C6" s="11">
        <f>설정값!$D$39</f>
        <v/>
      </c>
      <c r="J6" s="11" t="n"/>
    </row>
    <row r="7">
      <c r="B7" s="11" t="inlineStr">
        <is>
          <t>여객정원</t>
        </is>
      </c>
      <c r="C7" s="55">
        <f>IFERROR(INDEX(운임_화물_선박!$G$18:$G$21,MATCH(대조선박_손익!$C$6,운임_화물_선박!$B$18:$B$21,0)),0)</f>
        <v/>
      </c>
      <c r="J7" s="11" t="inlineStr">
        <is>
          <t>운임_화물_선박 시트 선박 제원</t>
        </is>
      </c>
    </row>
    <row r="8">
      <c r="B8" s="11" t="inlineStr">
        <is>
          <t>분석 상태</t>
        </is>
      </c>
      <c r="C8" s="11">
        <f>IFERROR(IF(LEFT(INDEX(운임_화물_선박!$K$18:$K$21,MATCH(대조선박_손익!$C$6,운임_화물_선박!$B$18:$B$21,0)),2)="보류","보류중 — 원가 자료 미확보, 결과를 확정으로 읽지 말 것","분석 가능"),"")</f>
        <v/>
      </c>
      <c r="J8" s="11" t="n"/>
    </row>
    <row r="9">
      <c r="B9" s="11" t="inlineStr">
        <is>
          <t>임대료수입 제외 (산타모니카호)</t>
        </is>
      </c>
      <c r="C9" s="11">
        <f>IF(대조선박_손익!$C$6="산타모니카호","O","X")</f>
        <v/>
      </c>
      <c r="J9" s="11" t="inlineStr">
        <is>
          <t>산타모니카호는 우리 임대료수입 계정 대상이 아님</t>
        </is>
      </c>
    </row>
    <row r="10">
      <c r="B10" s="11" t="inlineStr">
        <is>
          <t>대조 해상직 인원 (선원+승무원)</t>
        </is>
      </c>
      <c r="C10" s="55">
        <f>MAX(1,설정값!$D$41+설정값!$D$42)</f>
        <v/>
      </c>
      <c r="J10" s="11" t="n"/>
    </row>
    <row r="11">
      <c r="B11" s="11" t="inlineStr">
        <is>
          <t>해상직 비율 (hR)</t>
        </is>
      </c>
      <c r="C11" s="142">
        <f>대조선박_손익!$C$10/원가구조_기준!$C$31</f>
        <v/>
      </c>
      <c r="J11" s="11" t="inlineStr">
        <is>
          <t>대조 해상직 ÷ 참조 해상직 → 운항 인건비 3과목에 곱함</t>
        </is>
      </c>
    </row>
    <row r="12">
      <c r="B12" s="11" t="inlineStr">
        <is>
          <t>지상직 비율 (sR)</t>
        </is>
      </c>
      <c r="C12" s="142">
        <f>설정값!$D$40/설정값!$D$90</f>
        <v/>
      </c>
      <c r="J12" s="11" t="inlineStr">
        <is>
          <t>대조 지상직 ÷ 30명 → 판관 급여 3과목에 곱함</t>
        </is>
      </c>
    </row>
    <row r="13">
      <c r="B13" s="11" t="inlineStr">
        <is>
          <t>항차 비율</t>
        </is>
      </c>
      <c r="C13" s="142">
        <f>설정값!$D$43/설정값!$D$11</f>
        <v/>
      </c>
      <c r="J13" s="11" t="inlineStr">
        <is>
          <t>대조 항차 ÷ 참조 항차 → 운항기타 세목에 곱함</t>
        </is>
      </c>
    </row>
    <row r="14">
      <c r="B14" s="11" t="inlineStr">
        <is>
          <t>연료 원화 단가 — 기준 (원/MT)</t>
        </is>
      </c>
      <c r="C14" s="134">
        <f>설정값!$D$45*설정값!$D$47</f>
        <v/>
      </c>
      <c r="J14" s="11" t="n"/>
    </row>
    <row r="15">
      <c r="B15" s="11" t="inlineStr">
        <is>
          <t>연료 원화 단가 — 현재 (원/MT)</t>
        </is>
      </c>
      <c r="C15" s="134">
        <f>설정값!$D$46*설정값!$D$48</f>
        <v/>
      </c>
      <c r="J15" s="11" t="n"/>
    </row>
    <row r="16">
      <c r="B16" s="50" t="inlineStr">
        <is>
          <t>연료비 증가 배율</t>
        </is>
      </c>
      <c r="C16" s="145">
        <f>IF(설정값!$D$49="O",대조선박_손익!$C$15/대조선박_손익!$C$14,1)</f>
        <v/>
      </c>
      <c r="J16" s="9" t="inlineStr">
        <is>
          <t>(현재 $/MT × 환율) ÷ (기준 $/MT × 환율) — 연료비 세목에만</t>
        </is>
      </c>
    </row>
    <row r="17">
      <c r="B17" s="11" t="inlineStr">
        <is>
          <t>좌석 — 이코노미  (운임 · 배율 · 구성비)</t>
        </is>
      </c>
      <c r="C17" s="134">
        <f>설정값!$D$61*운임_화물_선박!$C$12</f>
        <v/>
      </c>
      <c r="D17" s="146">
        <f>운임_화물_선박!$C$12</f>
        <v/>
      </c>
      <c r="E17" s="135">
        <f>MAX(0,설정값!$D$63)</f>
        <v/>
      </c>
      <c r="J17" s="101" t="n"/>
    </row>
    <row r="18">
      <c r="B18" s="11" t="inlineStr">
        <is>
          <t>좌석 — 비즈니스  (운임 · 배율 · 구성비)</t>
        </is>
      </c>
      <c r="C18" s="134">
        <f>설정값!$D$61*운임_화물_선박!$E$12</f>
        <v/>
      </c>
      <c r="D18" s="146">
        <f>운임_화물_선박!$E$12</f>
        <v/>
      </c>
      <c r="E18" s="135">
        <f>MAX(0,설정값!$D$64)</f>
        <v/>
      </c>
      <c r="J18" s="101" t="n"/>
    </row>
    <row r="19">
      <c r="B19" s="11" t="inlineStr">
        <is>
          <t>좌석 — 퍼스트  (운임 · 배율 · 구성비)</t>
        </is>
      </c>
      <c r="C19" s="134">
        <f>설정값!$D$61*운임_화물_선박!$G$12</f>
        <v/>
      </c>
      <c r="D19" s="146">
        <f>운임_화물_선박!$G$12</f>
        <v/>
      </c>
      <c r="E19" s="135">
        <f>MAX(0,설정값!$D$65)</f>
        <v/>
      </c>
      <c r="J19" s="101" t="n"/>
    </row>
    <row r="20">
      <c r="B20" s="11" t="inlineStr">
        <is>
          <t>구성비 합계</t>
        </is>
      </c>
      <c r="C20" s="135">
        <f>SUM(E17:E19)</f>
        <v/>
      </c>
      <c r="J20" s="11" t="n"/>
    </row>
    <row r="21">
      <c r="B21" s="11" t="inlineStr">
        <is>
          <t>배율 × 구성비 합</t>
        </is>
      </c>
      <c r="C21" s="142">
        <f>SUMPRODUCT(D17:D19,E17:E19)</f>
        <v/>
      </c>
      <c r="J21" s="11" t="n"/>
    </row>
    <row r="22">
      <c r="B22" s="11" t="inlineStr">
        <is>
          <t>가중평균 운임</t>
        </is>
      </c>
      <c r="C22" s="134">
        <f>IF(대조선박_손익!$C$21&gt;0,설정값!$D$61*대조선박_손익!$C$21/대조선박_손익!$C$20,설정값!$D$61)</f>
        <v/>
      </c>
      <c r="J22" s="11" t="n"/>
    </row>
    <row r="23">
      <c r="B23" s="58" t="inlineStr">
        <is>
          <t>실현 단가 (가중평균 + 유류할증료)</t>
        </is>
      </c>
      <c r="C23" s="136">
        <f>대조선박_손익!$C$22+설정값!$D$62</f>
        <v/>
      </c>
      <c r="J23" s="11" t="n"/>
    </row>
    <row r="24">
      <c r="B24" s="11" t="inlineStr">
        <is>
          <t>항차당 인원 (정원 × 승선율)</t>
        </is>
      </c>
      <c r="C24" s="66">
        <f>IF(OR(설정값!$D$59="O",대조선박_손익!$C$7=0),IF(설정값!$D$43&gt;0,N(설정값!$D$60)/설정값!$D$43,0),ROUND(대조선박_손익!$C$7*설정값!$D$58,2))</f>
        <v/>
      </c>
      <c r="J24" s="11" t="n"/>
    </row>
    <row r="25">
      <c r="B25" s="58" t="inlineStr">
        <is>
          <t>연간 승객수</t>
        </is>
      </c>
      <c r="C25" s="67">
        <f>IF(OR(설정값!$D$59="O",대조선박_손익!$C$7=0),ROUND(N(설정값!$D$60),0),ROUND(대조선박_손익!$C$24*설정값!$D$43,0))</f>
        <v/>
      </c>
      <c r="J25" s="11" t="inlineStr">
        <is>
          <t>승선율 → 항차당 인원 → 연간 승객수 (직접 입력이면 입력값)</t>
        </is>
      </c>
    </row>
    <row r="26">
      <c r="B26" s="11" t="inlineStr">
        <is>
          <t>승선율 (결과)</t>
        </is>
      </c>
      <c r="C26" s="135">
        <f>IF(대조선박_손익!$C$7&gt;0,대조선박_손익!$C$25/(대조선박_손익!$C$7*설정값!$D$43),0)</f>
        <v/>
      </c>
      <c r="J26" s="11" t="n"/>
    </row>
    <row r="27">
      <c r="B27" s="11" t="inlineStr">
        <is>
          <t>가동율 (편도 항차)</t>
        </is>
      </c>
      <c r="C27" s="135">
        <f>설정값!$D$43/설정값!$D$91</f>
        <v/>
      </c>
      <c r="J27" s="11" t="n"/>
    </row>
    <row r="28">
      <c r="B28" s="11" t="inlineStr">
        <is>
          <t>적재 케이스 항차당 최대 차량 수입</t>
        </is>
      </c>
      <c r="C28" s="134">
        <f>IFERROR(INDEX(운임_화물_선박!$L$55:$L$59,MATCH(설정값!$D$67,운임_화물_선박!$B$55:$B$59,0)),0)</f>
        <v/>
      </c>
      <c r="J28" s="11" t="inlineStr">
        <is>
          <t>운임_화물_선박 4번 표</t>
        </is>
      </c>
    </row>
    <row r="29">
      <c r="B29" s="11" t="inlineStr">
        <is>
          <t>선적율 적용 항차당 수입</t>
        </is>
      </c>
      <c r="C29" s="134">
        <f>대조선박_손익!$C$28*설정값!$D$66</f>
        <v/>
      </c>
      <c r="J29" s="11" t="n"/>
    </row>
    <row r="30">
      <c r="B30" s="50" t="inlineStr">
        <is>
          <t>연간 화물수입</t>
        </is>
      </c>
      <c r="C30" s="139">
        <f>대조선박_손익!$C$28*설정값!$D$66*설정값!$D$43</f>
        <v/>
      </c>
      <c r="J30" s="11" t="inlineStr">
        <is>
          <t>케이스 수입 × 선적율 × 대조 항차 (+α: 운임 미산정 항목)</t>
        </is>
      </c>
    </row>
    <row r="31">
      <c r="B31" s="11" t="inlineStr">
        <is>
          <t>임대료수입</t>
        </is>
      </c>
      <c r="C31" s="134">
        <f>IF(대조선박_손익!$C$9="O",0,원가구조_기준!$C$10)</f>
        <v/>
      </c>
      <c r="J31" s="11" t="n"/>
    </row>
    <row r="32">
      <c r="B32" s="11" t="inlineStr">
        <is>
          <t>여객 외 수입 (O)</t>
        </is>
      </c>
      <c r="C32" s="134">
        <f>대조선박_손익!$C$30+대조선박_손익!$C$31</f>
        <v/>
      </c>
      <c r="J32" s="11" t="n"/>
    </row>
    <row r="33">
      <c r="B33" s="50" t="inlineStr">
        <is>
          <t>감가상각비</t>
        </is>
      </c>
      <c r="C33" s="139">
        <f>IF(N(설정값!$D$50)&gt;0,N(설정값!$D$50)*1000000*(1-설정값!$D$52)/MAX(1,설정값!$D$51),원가구조_기준!$C$14)</f>
        <v/>
      </c>
      <c r="J33" s="11" t="inlineStr">
        <is>
          <t>선가 × (1 − 잔존가치) ÷ 내용연수 (정액법) · 선가가 비면 감사보고서 감가상각비</t>
        </is>
      </c>
    </row>
    <row r="34">
      <c r="B34" s="11" t="inlineStr">
        <is>
          <t>운항 인건비 3과목</t>
        </is>
      </c>
      <c r="C34" s="134">
        <f>원가구조_기준!$C$20*대조선박_손익!$C$11</f>
        <v/>
      </c>
      <c r="J34" s="11" t="n"/>
    </row>
    <row r="35">
      <c r="B35" s="11" t="inlineStr">
        <is>
          <t>판관 급여영역</t>
        </is>
      </c>
      <c r="C35" s="134">
        <f>설정값!$D$40*원가구조_기준!$C$27</f>
        <v/>
      </c>
      <c r="J35" s="11" t="n"/>
    </row>
    <row r="36">
      <c r="B36" s="11" t="inlineStr">
        <is>
          <t>지급수수료 배율</t>
        </is>
      </c>
      <c r="C36" s="142">
        <f>IF(설정값!$E$36="변동",IF(원가구조_기준!$C$45&gt;0,대조선박_손익!$C$25/원가구조_기준!$C$45,1),IF(설정값!$E$36="준변동",설정값!$D$43/설정값!$D$11,1))</f>
        <v/>
      </c>
      <c r="J36" s="11" t="inlineStr">
        <is>
          <t>원가 구성표의 지급수수료 성격을 따른다 (변동: 대조 승객 ÷ 실적 역산 승객)</t>
        </is>
      </c>
    </row>
    <row r="37" ht="16.5" customHeight="1">
      <c r="B37" s="24" t="inlineStr">
        <is>
          <t>2. 운항기타 세목 산출 ( "운항기타 — 산출 근거")</t>
        </is>
      </c>
      <c r="J37" s="101" t="n"/>
    </row>
    <row r="38" ht="27" customHeight="1">
      <c r="B38" s="122" t="inlineStr">
        <is>
          <t>세목</t>
        </is>
      </c>
      <c r="C38" s="122" t="inlineStr">
        <is>
          <t>기준금액 (감사보고서 비례)</t>
        </is>
      </c>
      <c r="D38" s="122" t="inlineStr">
        <is>
          <t>비율(정규화)</t>
        </is>
      </c>
      <c r="E38" s="122" t="inlineStr">
        <is>
          <t>항차비율</t>
        </is>
      </c>
      <c r="F38" s="122" t="inlineStr">
        <is>
          <t>연료할증</t>
        </is>
      </c>
      <c r="G38" s="122" t="inlineStr">
        <is>
          <t>적용금액</t>
        </is>
      </c>
      <c r="H38" s="116" t="n"/>
      <c r="I38" s="116" t="n"/>
      <c r="J38" s="116" t="n"/>
    </row>
    <row r="39">
      <c r="B39" s="11" t="inlineStr">
        <is>
          <t>연료비</t>
        </is>
      </c>
      <c r="C39" s="134">
        <f>원가구조_기준!$C$53</f>
        <v/>
      </c>
      <c r="D39" s="60">
        <f>IFERROR(C39/원가구조_기준!$C$24,0)</f>
        <v/>
      </c>
      <c r="E39" s="142">
        <f>대조선박_손익!$C$13</f>
        <v/>
      </c>
      <c r="F39" s="142">
        <f>대조선박_손익!$C$16</f>
        <v/>
      </c>
      <c r="G39" s="134">
        <f>C39*E39*F39</f>
        <v/>
      </c>
    </row>
    <row r="40">
      <c r="B40" s="11" t="inlineStr">
        <is>
          <t>항비</t>
        </is>
      </c>
      <c r="C40" s="134">
        <f>원가구조_기준!$C$54</f>
        <v/>
      </c>
      <c r="D40" s="60">
        <f>IFERROR(C40/원가구조_기준!$C$24,0)</f>
        <v/>
      </c>
      <c r="E40" s="142">
        <f>대조선박_손익!$C$13</f>
        <v/>
      </c>
      <c r="F40" s="142" t="n">
        <v>1</v>
      </c>
      <c r="G40" s="134">
        <f>C40*E40*F40</f>
        <v/>
      </c>
    </row>
    <row r="41">
      <c r="B41" s="11" t="inlineStr">
        <is>
          <t>보험료</t>
        </is>
      </c>
      <c r="C41" s="134">
        <f>원가구조_기준!$C$55</f>
        <v/>
      </c>
      <c r="D41" s="60">
        <f>IFERROR(C41/원가구조_기준!$C$24,0)</f>
        <v/>
      </c>
      <c r="E41" s="142">
        <f>대조선박_손익!$C$13</f>
        <v/>
      </c>
      <c r="F41" s="142" t="n">
        <v>1</v>
      </c>
      <c r="G41" s="134">
        <f>C41*E41*F41</f>
        <v/>
      </c>
    </row>
    <row r="42">
      <c r="B42" s="11" t="inlineStr">
        <is>
          <t>수리비</t>
        </is>
      </c>
      <c r="C42" s="134">
        <f>원가구조_기준!$C$56</f>
        <v/>
      </c>
      <c r="D42" s="60">
        <f>IFERROR(C42/원가구조_기준!$C$24,0)</f>
        <v/>
      </c>
      <c r="E42" s="142">
        <f>대조선박_손익!$C$13</f>
        <v/>
      </c>
      <c r="F42" s="142" t="n">
        <v>1</v>
      </c>
      <c r="G42" s="134">
        <f>C42*E42*F42</f>
        <v/>
      </c>
    </row>
    <row r="43">
      <c r="B43" s="11" t="inlineStr">
        <is>
          <t>선용품비</t>
        </is>
      </c>
      <c r="C43" s="134">
        <f>원가구조_기준!$C$57</f>
        <v/>
      </c>
      <c r="D43" s="60">
        <f>IFERROR(C43/원가구조_기준!$C$24,0)</f>
        <v/>
      </c>
      <c r="E43" s="142">
        <f>대조선박_손익!$C$13</f>
        <v/>
      </c>
      <c r="F43" s="142" t="n">
        <v>1</v>
      </c>
      <c r="G43" s="134">
        <f>C43*E43*F43</f>
        <v/>
      </c>
    </row>
    <row r="44">
      <c r="B44" s="4" t="inlineStr">
        <is>
          <t>합계 (운항기타)</t>
        </is>
      </c>
      <c r="C44" s="131">
        <f>SUM(C39:C43)</f>
        <v/>
      </c>
      <c r="G44" s="131">
        <f>SUM(G39:G43)</f>
        <v/>
      </c>
    </row>
    <row r="45">
      <c r="B45" s="11" t="inlineStr">
        <is>
          <t>└ 유가 상승으로 늘어난 몫</t>
        </is>
      </c>
      <c r="G45" s="134">
        <f>대조선박_손익!$G$44-C44*대조선박_손익!$C$13</f>
        <v/>
      </c>
    </row>
    <row r="46" ht="16.5" customHeight="1">
      <c r="B46" s="24" t="inlineStr">
        <is>
          <t>3. 손익계산서 — 대조 선박 (단일연도)</t>
        </is>
      </c>
    </row>
    <row r="47">
      <c r="B47" s="122" t="inlineStr">
        <is>
          <t>과 목</t>
        </is>
      </c>
      <c r="C47" s="122" t="inlineStr">
        <is>
          <t>금액</t>
        </is>
      </c>
      <c r="D47" s="122" t="inlineStr">
        <is>
          <t>구성비</t>
        </is>
      </c>
      <c r="E47" s="122" t="inlineStr">
        <is>
          <t>매출 대비</t>
        </is>
      </c>
      <c r="F47" s="116" t="n"/>
      <c r="G47" s="116" t="n"/>
      <c r="H47" s="116" t="n"/>
      <c r="I47" s="116" t="n"/>
      <c r="J47" s="122" t="inlineStr">
        <is>
          <t>산출 근거</t>
        </is>
      </c>
    </row>
    <row r="48">
      <c r="B48" s="7" t="inlineStr">
        <is>
          <t>Ⅰ. 매출액</t>
        </is>
      </c>
      <c r="C48" s="131">
        <f>SUM(C49:C51)</f>
        <v/>
      </c>
      <c r="D48" s="11" t="n"/>
      <c r="E48" s="135">
        <f>IFERROR(C48/C$48,0)</f>
        <v/>
      </c>
      <c r="J48" s="11" t="n"/>
    </row>
    <row r="49">
      <c r="B49" s="38" t="inlineStr">
        <is>
          <t>여객수입</t>
        </is>
      </c>
      <c r="C49" s="134">
        <f>대조선박_손익!$C$25*대조선박_손익!$C$23</f>
        <v/>
      </c>
      <c r="D49" s="135">
        <f>IFERROR(C49/C$48,0)</f>
        <v/>
      </c>
      <c r="E49" s="135">
        <f>IFERROR(C49/C$48,0)</f>
        <v/>
      </c>
      <c r="J49" s="11" t="inlineStr">
        <is>
          <t>연간 승객수 × 실현 단가</t>
        </is>
      </c>
    </row>
    <row r="50">
      <c r="B50" s="38" t="inlineStr">
        <is>
          <t>화물수입 (+α)</t>
        </is>
      </c>
      <c r="C50" s="134">
        <f>대조선박_손익!$C$30</f>
        <v/>
      </c>
      <c r="D50" s="135">
        <f>IFERROR(C50/C$48,0)</f>
        <v/>
      </c>
      <c r="E50" s="135">
        <f>IFERROR(C50/C$48,0)</f>
        <v/>
      </c>
      <c r="J50" s="11" t="inlineStr">
        <is>
          <t>케이스 × 선적율 × 항차 · +α = 운임 미산정 항목(캐러밴·일반화물 등)의 이익 여분</t>
        </is>
      </c>
    </row>
    <row r="51">
      <c r="B51" s="38" t="inlineStr">
        <is>
          <t>임대료수입</t>
        </is>
      </c>
      <c r="C51" s="134">
        <f>대조선박_손익!$C$31</f>
        <v/>
      </c>
      <c r="D51" s="135">
        <f>IFERROR(C51/C$48,0)</f>
        <v/>
      </c>
      <c r="E51" s="135">
        <f>IFERROR(C51/C$48,0)</f>
        <v/>
      </c>
      <c r="J51" s="11" t="inlineStr">
        <is>
          <t>산타모니카호는 제외</t>
        </is>
      </c>
    </row>
    <row r="52">
      <c r="B52" s="7" t="inlineStr">
        <is>
          <t>Ⅱ. 운항원가 (−)</t>
        </is>
      </c>
      <c r="C52" s="131">
        <f>SUM(C53:C59)</f>
        <v/>
      </c>
      <c r="D52" s="11" t="n"/>
      <c r="E52" s="135">
        <f>IFERROR(C52/C$48,0)</f>
        <v/>
      </c>
      <c r="J52" s="11" t="n"/>
    </row>
    <row r="53">
      <c r="B53" s="38" t="inlineStr">
        <is>
          <t>급여 (해상직원)</t>
        </is>
      </c>
      <c r="C53" s="134">
        <f>손익계산서_원본!$D$12*대조선박_손익!$C$11</f>
        <v/>
      </c>
      <c r="D53" s="135">
        <f>IFERROR(C53/C$52,0)</f>
        <v/>
      </c>
      <c r="E53" s="135">
        <f>IFERROR(C53/C$48,0)</f>
        <v/>
      </c>
      <c r="J53" s="11" t="inlineStr">
        <is>
          <t>감사보고서 주석15 × hR</t>
        </is>
      </c>
    </row>
    <row r="54">
      <c r="B54" s="38" t="inlineStr">
        <is>
          <t>퇴직급여 (해상직원)</t>
        </is>
      </c>
      <c r="C54" s="134">
        <f>손익계산서_원본!$D$13*대조선박_손익!$C$11</f>
        <v/>
      </c>
      <c r="D54" s="135">
        <f>IFERROR(C54/C$52,0)</f>
        <v/>
      </c>
      <c r="E54" s="135">
        <f>IFERROR(C54/C$48,0)</f>
        <v/>
      </c>
      <c r="J54" s="9" t="inlineStr">
        <is>
          <t>× hR</t>
        </is>
      </c>
    </row>
    <row r="55">
      <c r="B55" s="38" t="inlineStr">
        <is>
          <t>복리후생비 (해상직원)</t>
        </is>
      </c>
      <c r="C55" s="134">
        <f>손익계산서_원본!$D$14*대조선박_손익!$C$11</f>
        <v/>
      </c>
      <c r="D55" s="135">
        <f>IFERROR(C55/C$52,0)</f>
        <v/>
      </c>
      <c r="E55" s="135">
        <f>IFERROR(C55/C$48,0)</f>
        <v/>
      </c>
      <c r="J55" s="9" t="inlineStr">
        <is>
          <t>× hR</t>
        </is>
      </c>
    </row>
    <row r="56">
      <c r="B56" s="38" t="inlineStr">
        <is>
          <t>감가상각비</t>
        </is>
      </c>
      <c r="C56" s="134">
        <f>대조선박_손익!$C$33</f>
        <v/>
      </c>
      <c r="D56" s="135">
        <f>IFERROR(C56/C$52,0)</f>
        <v/>
      </c>
      <c r="E56" s="135">
        <f>IFERROR(C56/C$48,0)</f>
        <v/>
      </c>
      <c r="J56" s="11" t="inlineStr">
        <is>
          <t>선가 정액법</t>
        </is>
      </c>
    </row>
    <row r="57">
      <c r="B57" s="38" t="inlineStr">
        <is>
          <t>세금과공과</t>
        </is>
      </c>
      <c r="C57" s="134">
        <f>손익계산서_원본!$D$16</f>
        <v/>
      </c>
      <c r="D57" s="135">
        <f>IFERROR(C57/C$52,0)</f>
        <v/>
      </c>
      <c r="E57" s="135">
        <f>IFERROR(C57/C$48,0)</f>
        <v/>
      </c>
      <c r="J57" s="11" t="inlineStr">
        <is>
          <t>감사보고서 그대로</t>
        </is>
      </c>
    </row>
    <row r="58">
      <c r="B58" s="38" t="inlineStr">
        <is>
          <t>임차료</t>
        </is>
      </c>
      <c r="C58" s="134">
        <f>손익계산서_원본!$D$17</f>
        <v/>
      </c>
      <c r="D58" s="135">
        <f>IFERROR(C58/C$52,0)</f>
        <v/>
      </c>
      <c r="E58" s="135">
        <f>IFERROR(C58/C$48,0)</f>
        <v/>
      </c>
      <c r="J58" s="11" t="inlineStr">
        <is>
          <t>감사보고서 그대로</t>
        </is>
      </c>
    </row>
    <row r="59">
      <c r="B59" s="38" t="inlineStr">
        <is>
          <t>운항기타 (항비·연료비·잡비)</t>
        </is>
      </c>
      <c r="C59" s="134">
        <f>대조선박_손익!$G$44</f>
        <v/>
      </c>
      <c r="D59" s="135">
        <f>IFERROR(C59/C$52,0)</f>
        <v/>
      </c>
      <c r="E59" s="135">
        <f>IFERROR(C59/C$48,0)</f>
        <v/>
      </c>
      <c r="J59" s="11" t="inlineStr">
        <is>
          <t>세목 × 항차비율 (연료비 × 증가 배율)</t>
        </is>
      </c>
    </row>
    <row r="60">
      <c r="B60" s="68" t="inlineStr">
        <is>
          <t>· 연료비</t>
        </is>
      </c>
      <c r="C60" s="134">
        <f>대조선박_손익!$G$39</f>
        <v/>
      </c>
      <c r="D60" s="135">
        <f>IFERROR(C60/C$52,0)</f>
        <v/>
      </c>
      <c r="E60" s="135">
        <f>IFERROR(C60/C$48,0)</f>
        <v/>
      </c>
      <c r="J60" s="9" t="inlineStr">
        <is>
          <t>[세목 — 운항기타에 포함, 중복 합산 아님]</t>
        </is>
      </c>
    </row>
    <row r="61">
      <c r="B61" s="68" t="inlineStr">
        <is>
          <t>· 항비</t>
        </is>
      </c>
      <c r="C61" s="134">
        <f>대조선박_손익!$G$40</f>
        <v/>
      </c>
      <c r="D61" s="135">
        <f>IFERROR(C61/C$52,0)</f>
        <v/>
      </c>
      <c r="E61" s="135">
        <f>IFERROR(C61/C$48,0)</f>
        <v/>
      </c>
      <c r="J61" s="9" t="inlineStr">
        <is>
          <t>[세목 — 운항기타에 포함, 중복 합산 아님]</t>
        </is>
      </c>
    </row>
    <row r="62">
      <c r="B62" s="68" t="inlineStr">
        <is>
          <t>· 보험료</t>
        </is>
      </c>
      <c r="C62" s="134">
        <f>대조선박_손익!$G$41</f>
        <v/>
      </c>
      <c r="D62" s="135">
        <f>IFERROR(C62/C$52,0)</f>
        <v/>
      </c>
      <c r="E62" s="135">
        <f>IFERROR(C62/C$48,0)</f>
        <v/>
      </c>
      <c r="J62" s="9" t="inlineStr">
        <is>
          <t>[세목 — 운항기타에 포함, 중복 합산 아님]</t>
        </is>
      </c>
    </row>
    <row r="63">
      <c r="B63" s="68" t="inlineStr">
        <is>
          <t>· 수리비</t>
        </is>
      </c>
      <c r="C63" s="134">
        <f>대조선박_손익!$G$42</f>
        <v/>
      </c>
      <c r="D63" s="135">
        <f>IFERROR(C63/C$52,0)</f>
        <v/>
      </c>
      <c r="E63" s="135">
        <f>IFERROR(C63/C$48,0)</f>
        <v/>
      </c>
      <c r="J63" s="9" t="inlineStr">
        <is>
          <t>[세목 — 운항기타에 포함, 중복 합산 아님]</t>
        </is>
      </c>
    </row>
    <row r="64">
      <c r="B64" s="68" t="inlineStr">
        <is>
          <t>· 선용품비</t>
        </is>
      </c>
      <c r="C64" s="134">
        <f>대조선박_손익!$G$43</f>
        <v/>
      </c>
      <c r="D64" s="135">
        <f>IFERROR(C64/C$52,0)</f>
        <v/>
      </c>
      <c r="E64" s="135">
        <f>IFERROR(C64/C$48,0)</f>
        <v/>
      </c>
      <c r="J64" s="9" t="inlineStr">
        <is>
          <t>[세목 — 운항기타에 포함, 중복 합산 아님]</t>
        </is>
      </c>
    </row>
    <row r="65">
      <c r="B65" s="7" t="inlineStr">
        <is>
          <t>Ⅲ. 매출총이익</t>
        </is>
      </c>
      <c r="C65" s="131">
        <f>C48-C52</f>
        <v/>
      </c>
      <c r="D65" s="11" t="n"/>
      <c r="E65" s="135">
        <f>IFERROR(C65/C$48,0)</f>
        <v/>
      </c>
      <c r="J65" s="11" t="n"/>
    </row>
    <row r="66">
      <c r="B66" s="7" t="inlineStr">
        <is>
          <t>Ⅳ. 판매비와관리비</t>
        </is>
      </c>
      <c r="C66" s="131">
        <f>SUM(C67:C72)</f>
        <v/>
      </c>
      <c r="D66" s="135">
        <f>IFERROR(C66/C$66,0)</f>
        <v/>
      </c>
      <c r="E66" s="135">
        <f>IFERROR(C66/C$48,0)</f>
        <v/>
      </c>
      <c r="J66" s="11" t="n"/>
    </row>
    <row r="67">
      <c r="B67" s="38" t="inlineStr">
        <is>
          <t>직원급여 (육상직원)</t>
        </is>
      </c>
      <c r="C67" s="134">
        <f>손익계산서_원본!$D$26*대조선박_손익!$C$12</f>
        <v/>
      </c>
      <c r="D67" s="135">
        <f>IFERROR(C67/C$66,0)</f>
        <v/>
      </c>
      <c r="E67" s="135">
        <f>IFERROR(C67/C$48,0)</f>
        <v/>
      </c>
      <c r="J67" s="9" t="inlineStr">
        <is>
          <t>× sR</t>
        </is>
      </c>
    </row>
    <row r="68">
      <c r="B68" s="38" t="inlineStr">
        <is>
          <t>퇴직급여 (육상직원)</t>
        </is>
      </c>
      <c r="C68" s="134">
        <f>손익계산서_원본!$D$27*대조선박_손익!$C$12</f>
        <v/>
      </c>
      <c r="D68" s="135">
        <f>IFERROR(C68/C$66,0)</f>
        <v/>
      </c>
      <c r="E68" s="135">
        <f>IFERROR(C68/C$48,0)</f>
        <v/>
      </c>
      <c r="J68" s="9" t="inlineStr">
        <is>
          <t>× sR</t>
        </is>
      </c>
    </row>
    <row r="69">
      <c r="B69" s="38" t="inlineStr">
        <is>
          <t>복리후생비 (육상직원)</t>
        </is>
      </c>
      <c r="C69" s="134">
        <f>손익계산서_원본!$D$28*대조선박_손익!$C$12</f>
        <v/>
      </c>
      <c r="D69" s="135">
        <f>IFERROR(C69/C$66,0)</f>
        <v/>
      </c>
      <c r="E69" s="135">
        <f>IFERROR(C69/C$48,0)</f>
        <v/>
      </c>
      <c r="J69" s="9" t="inlineStr">
        <is>
          <t>× sR</t>
        </is>
      </c>
    </row>
    <row r="70">
      <c r="B70" s="38" t="inlineStr">
        <is>
          <t>세금과공과</t>
        </is>
      </c>
      <c r="C70" s="134">
        <f>손익계산서_원본!$D$33</f>
        <v/>
      </c>
      <c r="D70" s="135">
        <f>IFERROR(C70/C$66,0)</f>
        <v/>
      </c>
      <c r="E70" s="135">
        <f>IFERROR(C70/C$48,0)</f>
        <v/>
      </c>
      <c r="J70" s="11" t="inlineStr">
        <is>
          <t>감사보고서 그대로</t>
        </is>
      </c>
    </row>
    <row r="71">
      <c r="B71" s="38" t="inlineStr">
        <is>
          <t>지급수수료</t>
        </is>
      </c>
      <c r="C71" s="134">
        <f>손익계산서_원본!$D$42*대조선박_손익!$C$36</f>
        <v/>
      </c>
      <c r="D71" s="135">
        <f>IFERROR(C71/C$66,0)</f>
        <v/>
      </c>
      <c r="E71" s="135">
        <f>IFERROR(C71/C$48,0)</f>
        <v/>
      </c>
      <c r="J71" s="9" t="inlineStr">
        <is>
          <t>× 지급수수료 배율 (성격 = 변동이면 승객 연동)</t>
        </is>
      </c>
    </row>
    <row r="72">
      <c r="B72" s="38" t="inlineStr">
        <is>
          <t>그 외 (14과목)</t>
        </is>
      </c>
      <c r="C72" s="134">
        <f>SUM(C73:C86)</f>
        <v/>
      </c>
      <c r="D72" s="135">
        <f>IFERROR(C72/C$66,0)</f>
        <v/>
      </c>
      <c r="E72" s="135">
        <f>IFERROR(C72/C$48,0)</f>
        <v/>
      </c>
      <c r="J72" s="11" t="inlineStr">
        <is>
          <t>세금과공과·지급수수료 제외 — 감사보고서 그대로</t>
        </is>
      </c>
    </row>
    <row r="73">
      <c r="B73" s="68" t="inlineStr">
        <is>
          <t>· 여비교통비</t>
        </is>
      </c>
      <c r="C73" s="134">
        <f>손익계산서_원본!$D$29</f>
        <v/>
      </c>
      <c r="D73" s="135">
        <f>IFERROR(C73/C$66,0)</f>
        <v/>
      </c>
      <c r="E73" s="135">
        <f>IFERROR(C73/C$48,0)</f>
        <v/>
      </c>
      <c r="J73" s="11" t="n"/>
    </row>
    <row r="74">
      <c r="B74" s="68" t="inlineStr">
        <is>
          <t>· 접대비</t>
        </is>
      </c>
      <c r="C74" s="134">
        <f>손익계산서_원본!$D$30</f>
        <v/>
      </c>
      <c r="D74" s="135">
        <f>IFERROR(C74/C$66,0)</f>
        <v/>
      </c>
      <c r="E74" s="135">
        <f>IFERROR(C74/C$48,0)</f>
        <v/>
      </c>
      <c r="J74" s="11" t="n"/>
    </row>
    <row r="75">
      <c r="B75" s="68" t="inlineStr">
        <is>
          <t>· 통신비</t>
        </is>
      </c>
      <c r="C75" s="134">
        <f>손익계산서_원본!$D$31</f>
        <v/>
      </c>
      <c r="D75" s="135">
        <f>IFERROR(C75/C$66,0)</f>
        <v/>
      </c>
      <c r="E75" s="135">
        <f>IFERROR(C75/C$48,0)</f>
        <v/>
      </c>
      <c r="J75" s="11" t="n"/>
    </row>
    <row r="76">
      <c r="B76" s="68" t="inlineStr">
        <is>
          <t>· 수도광열비</t>
        </is>
      </c>
      <c r="C76" s="134">
        <f>손익계산서_원본!$D$32</f>
        <v/>
      </c>
      <c r="D76" s="135">
        <f>IFERROR(C76/C$66,0)</f>
        <v/>
      </c>
      <c r="E76" s="135">
        <f>IFERROR(C76/C$48,0)</f>
        <v/>
      </c>
      <c r="J76" s="11" t="n"/>
    </row>
    <row r="77">
      <c r="B77" s="68" t="inlineStr">
        <is>
          <t>· 지급임차료</t>
        </is>
      </c>
      <c r="C77" s="134">
        <f>손익계산서_원본!$D$34</f>
        <v/>
      </c>
      <c r="D77" s="135">
        <f>IFERROR(C77/C$66,0)</f>
        <v/>
      </c>
      <c r="E77" s="135">
        <f>IFERROR(C77/C$48,0)</f>
        <v/>
      </c>
      <c r="J77" s="11" t="n"/>
    </row>
    <row r="78">
      <c r="B78" s="68" t="inlineStr">
        <is>
          <t>· 수선비</t>
        </is>
      </c>
      <c r="C78" s="134">
        <f>손익계산서_원본!$D$35</f>
        <v/>
      </c>
      <c r="D78" s="135">
        <f>IFERROR(C78/C$66,0)</f>
        <v/>
      </c>
      <c r="E78" s="135">
        <f>IFERROR(C78/C$48,0)</f>
        <v/>
      </c>
      <c r="J78" s="11" t="n"/>
    </row>
    <row r="79">
      <c r="B79" s="68" t="inlineStr">
        <is>
          <t>· 보험료</t>
        </is>
      </c>
      <c r="C79" s="134">
        <f>손익계산서_원본!$D$36</f>
        <v/>
      </c>
      <c r="D79" s="135">
        <f>IFERROR(C79/C$66,0)</f>
        <v/>
      </c>
      <c r="E79" s="135">
        <f>IFERROR(C79/C$48,0)</f>
        <v/>
      </c>
      <c r="J79" s="11" t="n"/>
    </row>
    <row r="80">
      <c r="B80" s="68" t="inlineStr">
        <is>
          <t>· 차량유지비</t>
        </is>
      </c>
      <c r="C80" s="134">
        <f>손익계산서_원본!$D$37</f>
        <v/>
      </c>
      <c r="D80" s="135">
        <f>IFERROR(C80/C$66,0)</f>
        <v/>
      </c>
      <c r="E80" s="135">
        <f>IFERROR(C80/C$48,0)</f>
        <v/>
      </c>
      <c r="J80" s="11" t="n"/>
    </row>
    <row r="81">
      <c r="B81" s="68" t="inlineStr">
        <is>
          <t>· 운반비</t>
        </is>
      </c>
      <c r="C81" s="134">
        <f>손익계산서_원본!$D$38</f>
        <v/>
      </c>
      <c r="D81" s="135">
        <f>IFERROR(C81/C$66,0)</f>
        <v/>
      </c>
      <c r="E81" s="135">
        <f>IFERROR(C81/C$48,0)</f>
        <v/>
      </c>
      <c r="J81" s="11" t="n"/>
    </row>
    <row r="82">
      <c r="B82" s="68" t="inlineStr">
        <is>
          <t>· 교육훈련비</t>
        </is>
      </c>
      <c r="C82" s="134">
        <f>손익계산서_원본!$D$39</f>
        <v/>
      </c>
      <c r="D82" s="135">
        <f>IFERROR(C82/C$66,0)</f>
        <v/>
      </c>
      <c r="E82" s="135">
        <f>IFERROR(C82/C$48,0)</f>
        <v/>
      </c>
      <c r="J82" s="11" t="n"/>
    </row>
    <row r="83">
      <c r="B83" s="68" t="inlineStr">
        <is>
          <t>· 도서인쇄비</t>
        </is>
      </c>
      <c r="C83" s="134">
        <f>손익계산서_원본!$D$40</f>
        <v/>
      </c>
      <c r="D83" s="135">
        <f>IFERROR(C83/C$66,0)</f>
        <v/>
      </c>
      <c r="E83" s="135">
        <f>IFERROR(C83/C$48,0)</f>
        <v/>
      </c>
      <c r="J83" s="11" t="n"/>
    </row>
    <row r="84">
      <c r="B84" s="68" t="inlineStr">
        <is>
          <t>· 소모품비</t>
        </is>
      </c>
      <c r="C84" s="134">
        <f>손익계산서_원본!$D$41</f>
        <v/>
      </c>
      <c r="D84" s="135">
        <f>IFERROR(C84/C$66,0)</f>
        <v/>
      </c>
      <c r="E84" s="135">
        <f>IFERROR(C84/C$48,0)</f>
        <v/>
      </c>
      <c r="J84" s="11" t="n"/>
    </row>
    <row r="85">
      <c r="B85" s="68" t="inlineStr">
        <is>
          <t>· 광고선전비</t>
        </is>
      </c>
      <c r="C85" s="134">
        <f>손익계산서_원본!$D$43</f>
        <v/>
      </c>
      <c r="D85" s="135">
        <f>IFERROR(C85/C$66,0)</f>
        <v/>
      </c>
      <c r="E85" s="135">
        <f>IFERROR(C85/C$48,0)</f>
        <v/>
      </c>
      <c r="J85" s="11" t="n"/>
    </row>
    <row r="86">
      <c r="B86" s="68" t="inlineStr">
        <is>
          <t>· 잡비</t>
        </is>
      </c>
      <c r="C86" s="134">
        <f>손익계산서_원본!$D$44</f>
        <v/>
      </c>
      <c r="D86" s="135">
        <f>IFERROR(C86/C$66,0)</f>
        <v/>
      </c>
      <c r="E86" s="135">
        <f>IFERROR(C86/C$48,0)</f>
        <v/>
      </c>
      <c r="J86" s="11" t="n"/>
    </row>
    <row r="87">
      <c r="B87" s="69" t="inlineStr">
        <is>
          <t>Ⅴ. 영업이익(손실)</t>
        </is>
      </c>
      <c r="C87" s="136">
        <f>C65-C66</f>
        <v/>
      </c>
      <c r="D87" s="11" t="n"/>
      <c r="E87" s="135">
        <f>IFERROR(C87/C$48,0)</f>
        <v/>
      </c>
      <c r="J87" s="11" t="n"/>
    </row>
    <row r="88">
      <c r="B88" s="7" t="inlineStr">
        <is>
          <t xml:space="preserve">  EBITDA (영업이익 + 감가상각비)</t>
        </is>
      </c>
      <c r="C88" s="131">
        <f>C87+C56</f>
        <v/>
      </c>
      <c r="D88" s="11" t="n"/>
      <c r="E88" s="135">
        <f>IFERROR(C88/C$48,0)</f>
        <v/>
      </c>
      <c r="J88" s="9" t="inlineStr">
        <is>
          <t>[보완]</t>
        </is>
      </c>
    </row>
    <row r="89">
      <c r="B89" s="7" t="inlineStr">
        <is>
          <t>Ⅵ. 영업외비용 (−)</t>
        </is>
      </c>
      <c r="C89" s="131">
        <f>C90</f>
        <v/>
      </c>
      <c r="D89" s="11" t="n"/>
      <c r="E89" s="135">
        <f>IFERROR(C89/C$48,0)</f>
        <v/>
      </c>
      <c r="J89" s="11" t="n"/>
    </row>
    <row r="90">
      <c r="B90" s="38" t="inlineStr">
        <is>
          <t>이자비용</t>
        </is>
      </c>
      <c r="C90" s="134">
        <f>IF(AND(차입금_상환!$C$6&gt;0,차입금_상환!$C$7&gt;0),차입금_상환!$C$13,0)</f>
        <v/>
      </c>
      <c r="D90" s="135">
        <f>IFERROR(C90/C$89,0)</f>
        <v/>
      </c>
      <c r="E90" s="135">
        <f>IFERROR(C90/C$48,0)</f>
        <v/>
      </c>
      <c r="J90" s="11" t="inlineStr">
        <is>
          <t>차입금 × 이자율 (첫해) — 10개년 표에서는 "선체이자"로 운항원가에 들어간다</t>
        </is>
      </c>
    </row>
    <row r="91">
      <c r="B91" s="69" t="inlineStr">
        <is>
          <t>Ⅶ. 법인세차감전순이익(손실)</t>
        </is>
      </c>
      <c r="C91" s="136">
        <f>C87-C89</f>
        <v/>
      </c>
      <c r="D91" s="11" t="n"/>
      <c r="E91" s="135">
        <f>IFERROR(C91/C$48,0)</f>
        <v/>
      </c>
      <c r="J91" s="11" t="n"/>
    </row>
    <row r="92">
      <c r="B92" s="4" t="inlineStr">
        <is>
          <t>〔수지〕 현금 기준</t>
        </is>
      </c>
      <c r="C92" s="131" t="n"/>
      <c r="J92" s="9" t="inlineStr">
        <is>
          <t>[보완] 여기부터 손익이 아니라 수지</t>
        </is>
      </c>
    </row>
    <row r="93">
      <c r="B93" s="43" t="inlineStr">
        <is>
          <t>(+) 감가상각비 되더하기</t>
        </is>
      </c>
      <c r="C93" s="134">
        <f>C56</f>
        <v/>
      </c>
      <c r="D93" s="11" t="n"/>
      <c r="E93" s="135">
        <f>IFERROR(C93/C$48,0)</f>
        <v/>
      </c>
      <c r="J93" s="11" t="n"/>
    </row>
    <row r="94">
      <c r="B94" s="43" t="inlineStr">
        <is>
          <t>(−) 차입금 원금상환</t>
        </is>
      </c>
      <c r="C94" s="134">
        <f>-차입금_상환!$C$14</f>
        <v/>
      </c>
      <c r="D94" s="11" t="n"/>
      <c r="E94" s="135">
        <f>IFERROR(C94/C$48,0)</f>
        <v/>
      </c>
      <c r="J94" s="11" t="inlineStr">
        <is>
          <t>첫해 원금 — 비용은 아니지만 통장에서 빠진다</t>
        </is>
      </c>
    </row>
    <row r="95">
      <c r="B95" s="58" t="inlineStr">
        <is>
          <t>＝ 순현금흐름</t>
        </is>
      </c>
      <c r="C95" s="136">
        <f>C91+C93+C94</f>
        <v/>
      </c>
      <c r="D95" s="11" t="n"/>
      <c r="E95" s="135">
        <f>IFERROR(C95/C$48,0)</f>
        <v/>
      </c>
      <c r="J95" s="11" t="n"/>
    </row>
    <row r="97">
      <c r="B97" s="50" t="inlineStr">
        <is>
          <t>영업이익률</t>
        </is>
      </c>
      <c r="C97" s="147">
        <f>IFERROR(C87/C48,0)</f>
        <v/>
      </c>
      <c r="J97" s="3" t="n"/>
    </row>
    <row r="98">
      <c r="B98" s="9" t="inlineStr">
        <is>
          <t>EBITDA 마진</t>
        </is>
      </c>
      <c r="C98" s="60">
        <f>IFERROR(C88/C48,0)</f>
        <v/>
      </c>
      <c r="J98" s="3" t="n"/>
    </row>
    <row r="99" ht="16.5" customHeight="1">
      <c r="B99" s="24" t="inlineStr">
        <is>
          <t>4. 차입금 원리금과 상환여력 (DSCR)</t>
        </is>
      </c>
    </row>
    <row r="100">
      <c r="B100" s="122" t="inlineStr">
        <is>
          <t>항목</t>
        </is>
      </c>
      <c r="C100" s="115" t="inlineStr">
        <is>
          <t>값</t>
        </is>
      </c>
      <c r="D100" s="116" t="n"/>
      <c r="E100" s="116" t="n"/>
      <c r="F100" s="116" t="n"/>
      <c r="G100" s="116" t="n"/>
      <c r="H100" s="116" t="n"/>
      <c r="I100" s="116" t="n"/>
      <c r="J100" s="122" t="inlineStr">
        <is>
          <t>비고</t>
        </is>
      </c>
    </row>
    <row r="101">
      <c r="B101" s="11" t="inlineStr">
        <is>
          <t>조건</t>
        </is>
      </c>
      <c r="C101" s="11">
        <f>TEXT(차입금_상환!$C$6/100000000,"#,##0")&amp;"억 · "&amp;TEXT(차입금_상환!$C$7,"0.0%")&amp;" · "&amp;차입금_상환!$C$8&amp;"년 · "&amp;차입금_상환!$C$10&amp;IF(차입금_상환!$C$9&gt;0," · 거치 "&amp;차입금_상환!$C$9&amp;"년","")</f>
        <v/>
      </c>
      <c r="J101" s="11" t="n"/>
    </row>
    <row r="102">
      <c r="B102" s="11" t="inlineStr">
        <is>
          <t>첫해 원리금</t>
        </is>
      </c>
      <c r="C102" s="134">
        <f>차입금_상환!$C$15</f>
        <v/>
      </c>
      <c r="J102" s="11" t="inlineStr">
        <is>
          <t>원금 + 이자</t>
        </is>
      </c>
    </row>
    <row r="103">
      <c r="B103" s="11" t="inlineStr">
        <is>
          <t>총 상환</t>
        </is>
      </c>
      <c r="C103" s="134">
        <f>차입금_상환!$C$16</f>
        <v/>
      </c>
      <c r="J103" s="11" t="n"/>
    </row>
    <row r="104">
      <c r="B104" s="69" t="inlineStr">
        <is>
          <t>DSCR (CFADS ÷ 거치 후 원리금)</t>
        </is>
      </c>
      <c r="C104" s="71">
        <f>C130</f>
        <v/>
      </c>
      <c r="J104" s="9" t="inlineStr">
        <is>
          <t>정의는 아래 6번 — 분자가 EBITDA 가 아니라 CFADS(법인세·유보금 차감 후)이고, 분모는 거치가 끝난 해의 원리금이다</t>
        </is>
      </c>
    </row>
    <row r="105">
      <c r="B105" s="11" t="inlineStr">
        <is>
          <t>판정</t>
        </is>
      </c>
      <c r="C105" s="11">
        <f>IF(NOT(ISNUMBER($C$104)),"차입 없음",IF($C$104&lt;1,"부족 "&amp;TEXT((C129-C128)/1000000,"#,##0")&amp;"백만",IF($C$104&lt;1.2,"주의 "&amp;TEXT($C$104,"0.00")&amp;"배",TEXT($C$104,"0.00")&amp;"배 여유")))</f>
        <v/>
      </c>
      <c r="J105" s="11" t="n"/>
    </row>
    <row r="106" ht="16.5" customHeight="1">
      <c r="B106" s="24" t="inlineStr">
        <is>
          <t>5. BEP 모형용 원가 구성 — 대조 선박 (설정값 A-3의 포함 · 성격을 그대로 따른다)</t>
        </is>
      </c>
    </row>
    <row r="107">
      <c r="B107" s="122" t="inlineStr">
        <is>
          <t>원가 항목</t>
        </is>
      </c>
      <c r="C107" s="122" t="inlineStr">
        <is>
          <t>금액</t>
        </is>
      </c>
      <c r="D107" s="122" t="inlineStr">
        <is>
          <t>포함</t>
        </is>
      </c>
      <c r="E107" s="122" t="inlineStr">
        <is>
          <t>성격</t>
        </is>
      </c>
      <c r="F107" s="122" t="inlineStr">
        <is>
          <t>고정</t>
        </is>
      </c>
      <c r="G107" s="122" t="inlineStr">
        <is>
          <t>준변동</t>
        </is>
      </c>
      <c r="H107" s="122" t="inlineStr">
        <is>
          <t>변동</t>
        </is>
      </c>
      <c r="I107" s="122" t="inlineStr">
        <is>
          <t>그룹</t>
        </is>
      </c>
      <c r="J107" s="122" t="inlineStr">
        <is>
          <t>금액 규칙</t>
        </is>
      </c>
    </row>
    <row r="108">
      <c r="B108" s="11" t="inlineStr">
        <is>
          <t>운항 인건비 (급여·퇴직·복리)</t>
        </is>
      </c>
      <c r="C108" s="134">
        <f>대조선박_손익!$C$34</f>
        <v/>
      </c>
      <c r="D108" s="37">
        <f>설정값!$D$30</f>
        <v/>
      </c>
      <c r="E108" s="37">
        <f>설정값!$E$30</f>
        <v/>
      </c>
      <c r="F108" s="134">
        <f>IF(AND($D108="O",$E108="고정"),$C108,0)</f>
        <v/>
      </c>
      <c r="G108" s="134">
        <f>IF(AND($D108="O",$E108="준변동"),$C108,0)</f>
        <v/>
      </c>
      <c r="H108" s="134">
        <f>IF(AND($D108="O",$E108="변동"),$C108,0)</f>
        <v/>
      </c>
      <c r="I108" s="62" t="inlineStr">
        <is>
          <t>op</t>
        </is>
      </c>
      <c r="J108" s="11" t="inlineStr">
        <is>
          <t>운항 인건비 × hR</t>
        </is>
      </c>
    </row>
    <row r="109">
      <c r="B109" s="11" t="inlineStr">
        <is>
          <t>운항 감가상각비</t>
        </is>
      </c>
      <c r="C109" s="134">
        <f>대조선박_손익!$C$33</f>
        <v/>
      </c>
      <c r="D109" s="37">
        <f>설정값!$D$31</f>
        <v/>
      </c>
      <c r="E109" s="37">
        <f>설정값!$E$31</f>
        <v/>
      </c>
      <c r="F109" s="134">
        <f>IF(AND($D109="O",$E109="고정"),$C109,0)</f>
        <v/>
      </c>
      <c r="G109" s="134">
        <f>IF(AND($D109="O",$E109="준변동"),$C109,0)</f>
        <v/>
      </c>
      <c r="H109" s="134">
        <f>IF(AND($D109="O",$E109="변동"),$C109,0)</f>
        <v/>
      </c>
      <c r="I109" s="62" t="inlineStr">
        <is>
          <t>op</t>
        </is>
      </c>
      <c r="J109" s="11" t="inlineStr">
        <is>
          <t>선가 정액법</t>
        </is>
      </c>
    </row>
    <row r="110">
      <c r="B110" s="11" t="inlineStr">
        <is>
          <t>운항 세금과공과·임차료</t>
        </is>
      </c>
      <c r="C110" s="134">
        <f>원가구조_기준!$C$22</f>
        <v/>
      </c>
      <c r="D110" s="37">
        <f>설정값!$D$32</f>
        <v/>
      </c>
      <c r="E110" s="37">
        <f>설정값!$E$32</f>
        <v/>
      </c>
      <c r="F110" s="134">
        <f>IF(AND($D110="O",$E110="고정"),$C110,0)</f>
        <v/>
      </c>
      <c r="G110" s="134">
        <f>IF(AND($D110="O",$E110="준변동"),$C110,0)</f>
        <v/>
      </c>
      <c r="H110" s="134">
        <f>IF(AND($D110="O",$E110="변동"),$C110,0)</f>
        <v/>
      </c>
      <c r="I110" s="62" t="inlineStr">
        <is>
          <t>op</t>
        </is>
      </c>
      <c r="J110" s="11" t="inlineStr">
        <is>
          <t>감사보고서 그대로</t>
        </is>
      </c>
    </row>
    <row r="111">
      <c r="B111" s="11" t="inlineStr">
        <is>
          <t>운항기타 (항비·연료비·잡비)</t>
        </is>
      </c>
      <c r="C111" s="134">
        <f>대조선박_손익!$G$44</f>
        <v/>
      </c>
      <c r="D111" s="37">
        <f>설정값!$D$33</f>
        <v/>
      </c>
      <c r="E111" s="37">
        <f>설정값!$E$33</f>
        <v/>
      </c>
      <c r="F111" s="134">
        <f>IF(AND($D111="O",$E111="고정"),$C111,0)</f>
        <v/>
      </c>
      <c r="G111" s="134">
        <f>IF(AND($D111="O",$E111="준변동"),$C111,0)</f>
        <v/>
      </c>
      <c r="H111" s="134">
        <f>IF(AND($D111="O",$E111="변동"),$C111,0)</f>
        <v/>
      </c>
      <c r="I111" s="62" t="inlineStr">
        <is>
          <t>op</t>
        </is>
      </c>
      <c r="J111" s="11" t="inlineStr">
        <is>
          <t>세목 × 항차비율 · 연료 증가</t>
        </is>
      </c>
    </row>
    <row r="112">
      <c r="B112" s="11" t="inlineStr">
        <is>
          <t>판관 급여영역</t>
        </is>
      </c>
      <c r="C112" s="134">
        <f>대조선박_손익!$C$35</f>
        <v/>
      </c>
      <c r="D112" s="37">
        <f>설정값!$D$34</f>
        <v/>
      </c>
      <c r="E112" s="37">
        <f>설정값!$E$34</f>
        <v/>
      </c>
      <c r="F112" s="134">
        <f>IF(AND($D112="O",$E112="고정"),$C112,0)</f>
        <v/>
      </c>
      <c r="G112" s="134">
        <f>IF(AND($D112="O",$E112="준변동"),$C112,0)</f>
        <v/>
      </c>
      <c r="H112" s="134">
        <f>IF(AND($D112="O",$E112="변동"),$C112,0)</f>
        <v/>
      </c>
      <c r="I112" s="62" t="inlineStr">
        <is>
          <t>sga</t>
        </is>
      </c>
      <c r="J112" s="11" t="inlineStr">
        <is>
          <t>대조 지상직 × 1인당</t>
        </is>
      </c>
    </row>
    <row r="113">
      <c r="B113" s="11" t="inlineStr">
        <is>
          <t>판관 그 밖 13과목</t>
        </is>
      </c>
      <c r="C113" s="134">
        <f>원가구조_기준!$C$19</f>
        <v/>
      </c>
      <c r="D113" s="37">
        <f>설정값!$D$35</f>
        <v/>
      </c>
      <c r="E113" s="37">
        <f>설정값!$E$35</f>
        <v/>
      </c>
      <c r="F113" s="134">
        <f>IF(AND($D113="O",$E113="고정"),$C113,0)</f>
        <v/>
      </c>
      <c r="G113" s="134">
        <f>IF(AND($D113="O",$E113="준변동"),$C113,0)</f>
        <v/>
      </c>
      <c r="H113" s="134">
        <f>IF(AND($D113="O",$E113="변동"),$C113,0)</f>
        <v/>
      </c>
      <c r="I113" s="62" t="inlineStr">
        <is>
          <t>sga</t>
        </is>
      </c>
      <c r="J113" s="11" t="inlineStr">
        <is>
          <t>감사보고서 그대로</t>
        </is>
      </c>
    </row>
    <row r="114">
      <c r="B114" s="11" t="inlineStr">
        <is>
          <t>지급수수료</t>
        </is>
      </c>
      <c r="C114" s="134">
        <f>원가구조_기준!$C$18</f>
        <v/>
      </c>
      <c r="D114" s="37">
        <f>설정값!$D$36</f>
        <v/>
      </c>
      <c r="E114" s="37">
        <f>설정값!$E$36</f>
        <v/>
      </c>
      <c r="F114" s="134">
        <f>IF(AND($D114="O",$E114="고정"),$C114,0)</f>
        <v/>
      </c>
      <c r="G114" s="134">
        <f>IF(AND($D114="O",$E114="준변동"),$C114,0)</f>
        <v/>
      </c>
      <c r="H114" s="134">
        <f>IF(AND($D114="O",$E114="변동"),$C114,0)</f>
        <v/>
      </c>
      <c r="I114" s="62" t="inlineStr">
        <is>
          <t>sga</t>
        </is>
      </c>
      <c r="J114" s="11" t="inlineStr">
        <is>
          <t>감사보고서 금액 (변동이면 승객당 단가는 기준 v 사용)</t>
        </is>
      </c>
    </row>
    <row r="115">
      <c r="B115" s="4" t="inlineStr">
        <is>
          <t>합계</t>
        </is>
      </c>
      <c r="C115" s="131">
        <f>SUM(C108:C114)</f>
        <v/>
      </c>
      <c r="F115" s="131">
        <f>SUM(F108:F114)</f>
        <v/>
      </c>
      <c r="G115" s="131">
        <f>SUM(G108:G114)</f>
        <v/>
      </c>
      <c r="H115" s="131">
        <f>SUM(H108:H114)</f>
        <v/>
      </c>
    </row>
    <row r="116">
      <c r="B116" s="11" t="inlineStr">
        <is>
          <t xml:space="preserve">  └ 운항원가 몫</t>
        </is>
      </c>
      <c r="F116" s="134">
        <f>SUMIF($I$108:$I$114,"op",F108:F114)</f>
        <v/>
      </c>
      <c r="G116" s="134">
        <f>SUMIF($I$108:$I$114,"op",G108:G114)</f>
        <v/>
      </c>
      <c r="H116" s="134">
        <f>SUMIF($I$108:$I$114,"op",H108:H114)</f>
        <v/>
      </c>
    </row>
    <row r="117">
      <c r="B117" s="11" t="inlineStr">
        <is>
          <t xml:space="preserve">  └ 판관비 몫</t>
        </is>
      </c>
      <c r="F117" s="134">
        <f>SUMIF($I$108:$I$114,"sga",F108:F114)</f>
        <v/>
      </c>
      <c r="G117" s="134">
        <f>SUMIF($I$108:$I$114,"sga",G108:G114)</f>
        <v/>
      </c>
      <c r="H117" s="134">
        <f>SUMIF($I$108:$I$114,"sga",H108:H114)</f>
        <v/>
      </c>
    </row>
    <row r="118">
      <c r="B118" s="11" t="inlineStr">
        <is>
          <t>준변동비 항차당 단가</t>
        </is>
      </c>
      <c r="C118" s="134">
        <f>대조선박_손익!$G$115/설정값!$D$43</f>
        <v/>
      </c>
      <c r="J118" s="3" t="n"/>
    </row>
    <row r="119">
      <c r="B119" s="11" t="inlineStr">
        <is>
          <t>승객 1인 증가분 (v) — 기준 자료와 같은 값</t>
        </is>
      </c>
      <c r="C119" s="134">
        <f>원가구조_기준!$C$74</f>
        <v/>
      </c>
      <c r="J119" s="21" t="n"/>
    </row>
    <row r="121" ht="16.5" customHeight="1">
      <c r="B121" s="24" t="inlineStr">
        <is>
          <t>6. 수지 — CFADS · 부채상환커버리지비율 (화면 기준)</t>
        </is>
      </c>
    </row>
    <row r="122">
      <c r="B122" s="122" t="inlineStr">
        <is>
          <t>항목</t>
        </is>
      </c>
      <c r="C122" s="115" t="inlineStr">
        <is>
          <t>값</t>
        </is>
      </c>
      <c r="J122" s="122" t="inlineStr">
        <is>
          <t>비고</t>
        </is>
      </c>
    </row>
    <row r="123">
      <c r="B123" s="11" t="inlineStr">
        <is>
          <t>EBITDA</t>
        </is>
      </c>
      <c r="C123" s="134">
        <f>C88</f>
        <v/>
      </c>
      <c r="J123" s="11" t="inlineStr">
        <is>
          <t>영업이익 + 감가상각비 (3. 손익계산서)</t>
        </is>
      </c>
    </row>
    <row r="124">
      <c r="B124" s="11" t="inlineStr">
        <is>
          <t>과세표준</t>
        </is>
      </c>
      <c r="C124" s="134">
        <f>IF(설정값!$D$101="O",(MIN(설정값!$D$102,1000)*14+MAX(0,MIN(설정값!$D$102,10000)-1000)*11+MAX(0,MIN(설정값!$D$102,25000)-10000)*7+MAX(0,설정값!$D$102-25000)*4)*설정값!$D$103,MAX(0,C91))</f>
        <v/>
      </c>
      <c r="J124" s="11" t="inlineStr">
        <is>
          <t>톤세 O → 조특법 §104-10 의제이익(순톤수 구간요율 14·11·7·4원/일 × 운항일수) · X → 법인세차감전순이익</t>
        </is>
      </c>
    </row>
    <row r="125">
      <c r="B125" s="11" t="inlineStr">
        <is>
          <t>(−) 법인세</t>
        </is>
      </c>
      <c r="C125" s="134">
        <f>-IF(C124&lt;=0,0,MIN(C124,200000000)*0.099+MAX(0,MIN(C124,20000000000)-200000000)*0.209+MAX(0,MIN(C124,300000000000)-20000000000)*0.231+MAX(0,C124-300000000000)*0.264)</f>
        <v/>
      </c>
      <c r="J125" s="11" t="inlineStr">
        <is>
          <t>누진 — 지방소득세 10% 포함 (9.9 · 20.9 · 23.1 · 26.4%)</t>
        </is>
      </c>
    </row>
    <row r="126">
      <c r="B126" s="11" t="inlineStr">
        <is>
          <t>(−) 우발 수리유보금</t>
        </is>
      </c>
      <c r="C126" s="134">
        <f>-설정값!$D$106*1000000</f>
        <v/>
      </c>
      <c r="J126" s="11" t="inlineStr">
        <is>
          <t>설정값 E — 매년 정액. 손익이 아니라 수지에서만</t>
        </is>
      </c>
    </row>
    <row r="127">
      <c r="B127" s="11" t="inlineStr">
        <is>
          <t>(−) 선박 대체 유보금</t>
        </is>
      </c>
      <c r="C127" s="134">
        <f>-설정값!$D$50*설정값!$D$108/설정값!$D$51*1000000</f>
        <v/>
      </c>
      <c r="J127" s="11" t="inlineStr">
        <is>
          <t>선가 × 선가대비% ÷ 내용연수 = 50,000 × 20% ÷ 15 ≈ 667백만/년</t>
        </is>
      </c>
    </row>
    <row r="128">
      <c r="B128" s="69" t="inlineStr">
        <is>
          <t>＝ CFADS (부채상환가능재원)</t>
        </is>
      </c>
      <c r="C128" s="71">
        <f>C123+C125+C126+C127</f>
        <v/>
      </c>
      <c r="J128" s="11" t="inlineStr">
        <is>
          <t>상환에 실제로 쓸 수 있는 현금. 되돌린 감가상각은 선박 대체에 묶이므로 전부 못 쓴다</t>
        </is>
      </c>
    </row>
    <row r="129">
      <c r="B129" s="11" t="inlineStr">
        <is>
          <t>거치 후 첫 해 원리금</t>
        </is>
      </c>
      <c r="C129" s="134">
        <f>INDEX(차입금_상환!$G$20:$G$34,MIN(MAX(1,차입금_상환!$C$9+1),15))</f>
        <v/>
      </c>
      <c r="J129" s="11" t="inlineStr">
        <is>
          <t>거치 중에는 이자만 내 부담이 없어 보인다 — 원금이 붙기 시작하는 해로 잰다</t>
        </is>
      </c>
    </row>
    <row r="130">
      <c r="B130" s="69" t="inlineStr">
        <is>
          <t>부채상환커버리지비율 (DSCR)</t>
        </is>
      </c>
      <c r="C130" s="71">
        <f>IF(C129&gt;0,C128/C129,"-")</f>
        <v/>
      </c>
      <c r="J130" s="11" t="inlineStr">
        <is>
          <t>CFADS ÷ 거치 후 원리금. 1.0 미만이면 그해 못 갚는다 · 금융권은 보통 1.2~1.3 이상</t>
        </is>
      </c>
    </row>
    <row r="131">
      <c r="B131" s="69" t="inlineStr">
        <is>
          <t>＝ 상환 후 잉여현금</t>
        </is>
      </c>
      <c r="C131" s="134">
        <f>C128-C129</f>
        <v/>
      </c>
      <c r="J131" s="11" t="inlineStr">
        <is>
          <t>CFADS − 원리금. DSCR 1.0 초과와 같은 뜻</t>
        </is>
      </c>
    </row>
  </sheetData>
  <pageMargins left="0.75" right="0.75" top="1" bottom="1" header="0.511811023622047" footer="0.511811023622047"/>
  <pageSetup orientation="landscape" fitToHeight="0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B1:I36"/>
  <sheetViews>
    <sheetView zoomScale="85" zoomScaleNormal="85" workbookViewId="0">
      <selection activeCell="C29" sqref="C29"/>
    </sheetView>
  </sheetViews>
  <sheetFormatPr baseColWidth="8" defaultColWidth="8.7109375" defaultRowHeight="15"/>
  <cols>
    <col width="2" customWidth="1" min="1" max="1"/>
    <col width="30" customWidth="1" min="2" max="2"/>
    <col width="18" customWidth="1" min="3" max="8"/>
    <col width="50" customWidth="1" min="9" max="9"/>
  </cols>
  <sheetData>
    <row r="1" ht="20.25" customHeight="1">
      <c r="B1" s="2" t="inlineStr">
        <is>
          <t>차입금 상환 스케줄 — 대조 선박</t>
        </is>
      </c>
    </row>
    <row r="2">
      <c r="B2" s="3" t="inlineStr">
        <is>
          <t>이자비용은 손익계산서 항목, 원금 상환은 현금유출. 10개년 예상의 "선체이자"는 이 표의 연도별 이자를 그대로 쓴다. 단위: 원</t>
        </is>
      </c>
    </row>
    <row r="4" ht="16.5" customHeight="1">
      <c r="B4" s="24" t="inlineStr">
        <is>
          <t>1. 차입 조건 · 첫해 원리금 ( debtService)</t>
        </is>
      </c>
    </row>
    <row r="5">
      <c r="B5" s="122" t="inlineStr">
        <is>
          <t>항목</t>
        </is>
      </c>
      <c r="C5" s="122" t="inlineStr">
        <is>
          <t>값</t>
        </is>
      </c>
      <c r="D5" s="116" t="n"/>
      <c r="E5" s="116" t="n"/>
      <c r="F5" s="116" t="n"/>
      <c r="G5" s="116" t="n"/>
      <c r="H5" s="116" t="n"/>
      <c r="I5" s="122" t="inlineStr">
        <is>
          <t>산식</t>
        </is>
      </c>
    </row>
    <row r="6">
      <c r="B6" s="11" t="inlineStr">
        <is>
          <t>차입금 (원)</t>
        </is>
      </c>
      <c r="C6" s="134">
        <f>MAX(0,N(설정값!$D$53))*1000000</f>
        <v/>
      </c>
      <c r="I6" s="11" t="inlineStr">
        <is>
          <t>설정값(백만원) × 1,000,000</t>
        </is>
      </c>
    </row>
    <row r="7">
      <c r="B7" s="11" t="inlineStr">
        <is>
          <t>이자율</t>
        </is>
      </c>
      <c r="C7" s="60">
        <f>IF(설정값!$D$104="O",0.0156,N(설정값!$D$54))</f>
        <v/>
      </c>
      <c r="I7" s="11" t="inlineStr">
        <is>
          <t>설정값 D54. 단, E 섹션 "엔화대출 1.56% 적용"이 O 면 1.56% 로 고정</t>
        </is>
      </c>
    </row>
    <row r="8">
      <c r="B8" s="11" t="inlineStr">
        <is>
          <t>상환기간 (년)</t>
        </is>
      </c>
      <c r="C8" s="55">
        <f>MAX(1,N(설정값!$D$55))</f>
        <v/>
      </c>
      <c r="I8" s="11" t="n"/>
    </row>
    <row r="9">
      <c r="B9" s="11" t="inlineStr">
        <is>
          <t>거치기간 (년)</t>
        </is>
      </c>
      <c r="C9" s="55">
        <f>MAX(0,N(설정값!$D$56))</f>
        <v/>
      </c>
      <c r="I9" s="11" t="n"/>
    </row>
    <row r="10">
      <c r="B10" s="11" t="inlineStr">
        <is>
          <t>상환방식</t>
        </is>
      </c>
      <c r="C10" s="11">
        <f>설정값!$D$57</f>
        <v/>
      </c>
      <c r="I10" s="11" t="n"/>
    </row>
    <row r="11">
      <c r="B11" s="11" t="inlineStr">
        <is>
          <t>원금 상환 햇수</t>
        </is>
      </c>
      <c r="C11" s="55">
        <f>MAX(1,차입금_상환!$C$8-차입금_상환!$C$9)</f>
        <v/>
      </c>
      <c r="I11" s="11" t="inlineStr">
        <is>
          <t>상환기간 − 거치기간</t>
        </is>
      </c>
    </row>
    <row r="12">
      <c r="B12" s="11" t="inlineStr">
        <is>
          <t>원리금균등 연 상환액 (PMT)</t>
        </is>
      </c>
      <c r="C12" s="134">
        <f>IF(차입금_상환!$C$7=0,차입금_상환!$C$6/차입금_상환!$C$11,차입금_상환!$C$6*차입금_상환!$C$7/(1-(1+차입금_상환!$C$7)^(-차입금_상환!$C$11)))</f>
        <v/>
      </c>
      <c r="I12" s="9" t="inlineStr">
        <is>
          <t>P·r / (1 − (1+r)^−n)</t>
        </is>
      </c>
    </row>
    <row r="13">
      <c r="B13" s="50" t="inlineStr">
        <is>
          <t>첫해 이자</t>
        </is>
      </c>
      <c r="C13" s="139">
        <f>차입금_상환!$C$6*차입금_상환!$C$7</f>
        <v/>
      </c>
      <c r="I13" s="11" t="inlineStr">
        <is>
          <t>손익계산서(단일연도) 영업외비용 이자비용</t>
        </is>
      </c>
    </row>
    <row r="14">
      <c r="B14" s="50" t="inlineStr">
        <is>
          <t>첫해 원금상환</t>
        </is>
      </c>
      <c r="C14" s="139">
        <f>IF(차입금_상환!$C$6&lt;=0,0,IF(차입금_상환!$C$10="원리금균등",차입금_상환!$C$12-차입금_상환!$C$13,IF(차입금_상환!$C$10="원금균등",차입금_상환!$C$6/차입금_상환!$C$11,0)))</f>
        <v/>
      </c>
      <c r="I14" s="9" t="inlineStr">
        <is>
          <t xml:space="preserve"> 규칙: 원리금균등은 PMT − 이자 (거치 중에도 동일 적용) · 원금균등 P/n · 만기일시 0</t>
        </is>
      </c>
    </row>
    <row r="15">
      <c r="B15" s="58" t="inlineStr">
        <is>
          <t>첫해 원리금</t>
        </is>
      </c>
      <c r="C15" s="136">
        <f>차입금_상환!$C$13+차입금_상환!$C$14</f>
        <v/>
      </c>
      <c r="I15" s="11" t="n"/>
    </row>
    <row r="16">
      <c r="B16" s="11" t="inlineStr">
        <is>
          <t>총 상환액</t>
        </is>
      </c>
      <c r="C16" s="134">
        <f>IF(차입금_상환!$C$6&lt;=0,0,IF(차입금_상환!$C$10="원리금균등",차입금_상환!$C$12*차입금_상환!$C$11,IF(차입금_상환!$C$10="원금균등",차입금_상환!$C$6+차입금_상환!$C$7*차입금_상환!$C$6*(차입금_상환!$C$11+1)/2,차입금_상환!$C$13*차입금_상환!$C$8+차입금_상환!$C$6)))</f>
        <v/>
      </c>
      <c r="I16" s="11" t="n"/>
    </row>
    <row r="17">
      <c r="B17" s="11" t="inlineStr">
        <is>
          <t>총 이자</t>
        </is>
      </c>
      <c r="C17" s="134">
        <f>차입금_상환!$C$16-차입금_상환!$C$6</f>
        <v/>
      </c>
      <c r="I17" s="11" t="n"/>
    </row>
    <row r="18" ht="16.5" customHeight="1">
      <c r="B18" s="24" t="inlineStr">
        <is>
          <t>2. 연도별 상환 스케줄 ( interestSeries)</t>
        </is>
      </c>
    </row>
    <row r="19">
      <c r="B19" s="122" t="inlineStr">
        <is>
          <t>연차</t>
        </is>
      </c>
      <c r="C19" s="72" t="inlineStr">
        <is>
          <t>10개년 표 열</t>
        </is>
      </c>
      <c r="D19" s="122" t="inlineStr">
        <is>
          <t>기초 잔액</t>
        </is>
      </c>
      <c r="E19" s="122" t="inlineStr">
        <is>
          <t>이자</t>
        </is>
      </c>
      <c r="F19" s="122" t="inlineStr">
        <is>
          <t>원금 상환</t>
        </is>
      </c>
      <c r="G19" s="122" t="inlineStr">
        <is>
          <t>원리금</t>
        </is>
      </c>
      <c r="H19" s="122" t="inlineStr">
        <is>
          <t>기말 잔액</t>
        </is>
      </c>
      <c r="I19" s="122" t="inlineStr">
        <is>
          <t>비고</t>
        </is>
      </c>
    </row>
    <row r="20">
      <c r="B20" s="148" t="n">
        <v>1</v>
      </c>
      <c r="C20" s="62" t="inlineStr">
        <is>
          <t>y+0</t>
        </is>
      </c>
      <c r="D20" s="134">
        <f>차입금_상환!$C$6</f>
        <v/>
      </c>
      <c r="E20" s="134">
        <f>IF(OR(D20&lt;=0.000001,차입금_상환!$C$7&lt;=0),0,D20*차입금_상환!$C$7)</f>
        <v/>
      </c>
      <c r="F20" s="134">
        <f>IF(D20&lt;=0.000001,0,IF(B20&lt;=차입금_상환!$C$9,0,IF(차입금_상환!$C$10="원리금균등",MIN(D20,MAX(0,차입금_상환!$C$12-E20)),IF(차입금_상환!$C$10="원금균등",MIN(D20,차입금_상환!$C$6/차입금_상환!$C$11),IF(B20=차입금_상환!$C$8,D20,0)))))</f>
        <v/>
      </c>
      <c r="G20" s="134">
        <f>E20+F20</f>
        <v/>
      </c>
      <c r="H20" s="134">
        <f>MAX(0,D20-F20)</f>
        <v/>
      </c>
      <c r="I20" s="101" t="n"/>
    </row>
    <row r="21">
      <c r="B21" s="148" t="n">
        <v>2</v>
      </c>
      <c r="C21" s="62" t="inlineStr">
        <is>
          <t>y+1</t>
        </is>
      </c>
      <c r="D21" s="134">
        <f>H20</f>
        <v/>
      </c>
      <c r="E21" s="134">
        <f>IF(OR(D21&lt;=0.000001,차입금_상환!$C$7&lt;=0),0,D21*차입금_상환!$C$7)</f>
        <v/>
      </c>
      <c r="F21" s="134">
        <f>IF(D21&lt;=0.000001,0,IF(B21&lt;=차입금_상환!$C$9,0,IF(차입금_상환!$C$10="원리금균등",MIN(D21,MAX(0,차입금_상환!$C$12-E21)),IF(차입금_상환!$C$10="원금균등",MIN(D21,차입금_상환!$C$6/차입금_상환!$C$11),IF(B21=차입금_상환!$C$8,D21,0)))))</f>
        <v/>
      </c>
      <c r="G21" s="134">
        <f>E21+F21</f>
        <v/>
      </c>
      <c r="H21" s="134">
        <f>MAX(0,D21-F21)</f>
        <v/>
      </c>
      <c r="I21" s="101" t="n"/>
    </row>
    <row r="22">
      <c r="B22" s="148" t="n">
        <v>3</v>
      </c>
      <c r="C22" s="62" t="inlineStr">
        <is>
          <t>y+2</t>
        </is>
      </c>
      <c r="D22" s="134">
        <f>H21</f>
        <v/>
      </c>
      <c r="E22" s="134">
        <f>IF(OR(D22&lt;=0.000001,차입금_상환!$C$7&lt;=0),0,D22*차입금_상환!$C$7)</f>
        <v/>
      </c>
      <c r="F22" s="134">
        <f>IF(D22&lt;=0.000001,0,IF(B22&lt;=차입금_상환!$C$9,0,IF(차입금_상환!$C$10="원리금균등",MIN(D22,MAX(0,차입금_상환!$C$12-E22)),IF(차입금_상환!$C$10="원금균등",MIN(D22,차입금_상환!$C$6/차입금_상환!$C$11),IF(B22=차입금_상환!$C$8,D22,0)))))</f>
        <v/>
      </c>
      <c r="G22" s="134">
        <f>E22+F22</f>
        <v/>
      </c>
      <c r="H22" s="134">
        <f>MAX(0,D22-F22)</f>
        <v/>
      </c>
      <c r="I22" s="101" t="n"/>
    </row>
    <row r="23">
      <c r="B23" s="148" t="n">
        <v>4</v>
      </c>
      <c r="C23" s="62" t="inlineStr">
        <is>
          <t>y+3</t>
        </is>
      </c>
      <c r="D23" s="134">
        <f>H22</f>
        <v/>
      </c>
      <c r="E23" s="134">
        <f>IF(OR(D23&lt;=0.000001,차입금_상환!$C$7&lt;=0),0,D23*차입금_상환!$C$7)</f>
        <v/>
      </c>
      <c r="F23" s="134">
        <f>IF(D23&lt;=0.000001,0,IF(B23&lt;=차입금_상환!$C$9,0,IF(차입금_상환!$C$10="원리금균등",MIN(D23,MAX(0,차입금_상환!$C$12-E23)),IF(차입금_상환!$C$10="원금균등",MIN(D23,차입금_상환!$C$6/차입금_상환!$C$11),IF(B23=차입금_상환!$C$8,D23,0)))))</f>
        <v/>
      </c>
      <c r="G23" s="134">
        <f>E23+F23</f>
        <v/>
      </c>
      <c r="H23" s="134">
        <f>MAX(0,D23-F23)</f>
        <v/>
      </c>
      <c r="I23" s="101" t="n"/>
    </row>
    <row r="24">
      <c r="B24" s="148" t="n">
        <v>5</v>
      </c>
      <c r="C24" s="62" t="inlineStr">
        <is>
          <t>y+4</t>
        </is>
      </c>
      <c r="D24" s="134">
        <f>H23</f>
        <v/>
      </c>
      <c r="E24" s="134">
        <f>IF(OR(D24&lt;=0.000001,차입금_상환!$C$7&lt;=0),0,D24*차입금_상환!$C$7)</f>
        <v/>
      </c>
      <c r="F24" s="134">
        <f>IF(D24&lt;=0.000001,0,IF(B24&lt;=차입금_상환!$C$9,0,IF(차입금_상환!$C$10="원리금균등",MIN(D24,MAX(0,차입금_상환!$C$12-E24)),IF(차입금_상환!$C$10="원금균등",MIN(D24,차입금_상환!$C$6/차입금_상환!$C$11),IF(B24=차입금_상환!$C$8,D24,0)))))</f>
        <v/>
      </c>
      <c r="G24" s="134">
        <f>E24+F24</f>
        <v/>
      </c>
      <c r="H24" s="134">
        <f>MAX(0,D24-F24)</f>
        <v/>
      </c>
      <c r="I24" s="101" t="n"/>
    </row>
    <row r="25">
      <c r="B25" s="148" t="n">
        <v>6</v>
      </c>
      <c r="C25" s="62" t="inlineStr">
        <is>
          <t>y+5</t>
        </is>
      </c>
      <c r="D25" s="134">
        <f>H24</f>
        <v/>
      </c>
      <c r="E25" s="134">
        <f>IF(OR(D25&lt;=0.000001,차입금_상환!$C$7&lt;=0),0,D25*차입금_상환!$C$7)</f>
        <v/>
      </c>
      <c r="F25" s="134">
        <f>IF(D25&lt;=0.000001,0,IF(B25&lt;=차입금_상환!$C$9,0,IF(차입금_상환!$C$10="원리금균등",MIN(D25,MAX(0,차입금_상환!$C$12-E25)),IF(차입금_상환!$C$10="원금균등",MIN(D25,차입금_상환!$C$6/차입금_상환!$C$11),IF(B25=차입금_상환!$C$8,D25,0)))))</f>
        <v/>
      </c>
      <c r="G25" s="134">
        <f>E25+F25</f>
        <v/>
      </c>
      <c r="H25" s="134">
        <f>MAX(0,D25-F25)</f>
        <v/>
      </c>
      <c r="I25" s="101" t="n"/>
    </row>
    <row r="26">
      <c r="B26" s="148" t="n">
        <v>7</v>
      </c>
      <c r="C26" s="62" t="inlineStr">
        <is>
          <t>y+6</t>
        </is>
      </c>
      <c r="D26" s="134">
        <f>H25</f>
        <v/>
      </c>
      <c r="E26" s="134">
        <f>IF(OR(D26&lt;=0.000001,차입금_상환!$C$7&lt;=0),0,D26*차입금_상환!$C$7)</f>
        <v/>
      </c>
      <c r="F26" s="134">
        <f>IF(D26&lt;=0.000001,0,IF(B26&lt;=차입금_상환!$C$9,0,IF(차입금_상환!$C$10="원리금균등",MIN(D26,MAX(0,차입금_상환!$C$12-E26)),IF(차입금_상환!$C$10="원금균등",MIN(D26,차입금_상환!$C$6/차입금_상환!$C$11),IF(B26=차입금_상환!$C$8,D26,0)))))</f>
        <v/>
      </c>
      <c r="G26" s="134">
        <f>E26+F26</f>
        <v/>
      </c>
      <c r="H26" s="134">
        <f>MAX(0,D26-F26)</f>
        <v/>
      </c>
      <c r="I26" s="101" t="n"/>
    </row>
    <row r="27">
      <c r="B27" s="148" t="n">
        <v>8</v>
      </c>
      <c r="C27" s="62" t="inlineStr">
        <is>
          <t>y+7</t>
        </is>
      </c>
      <c r="D27" s="134">
        <f>H26</f>
        <v/>
      </c>
      <c r="E27" s="134">
        <f>IF(OR(D27&lt;=0.000001,차입금_상환!$C$7&lt;=0),0,D27*차입금_상환!$C$7)</f>
        <v/>
      </c>
      <c r="F27" s="134">
        <f>IF(D27&lt;=0.000001,0,IF(B27&lt;=차입금_상환!$C$9,0,IF(차입금_상환!$C$10="원리금균등",MIN(D27,MAX(0,차입금_상환!$C$12-E27)),IF(차입금_상환!$C$10="원금균등",MIN(D27,차입금_상환!$C$6/차입금_상환!$C$11),IF(B27=차입금_상환!$C$8,D27,0)))))</f>
        <v/>
      </c>
      <c r="G27" s="134">
        <f>E27+F27</f>
        <v/>
      </c>
      <c r="H27" s="134">
        <f>MAX(0,D27-F27)</f>
        <v/>
      </c>
      <c r="I27" s="101" t="n"/>
    </row>
    <row r="28">
      <c r="B28" s="148" t="n">
        <v>9</v>
      </c>
      <c r="C28" s="62" t="inlineStr">
        <is>
          <t>y+8</t>
        </is>
      </c>
      <c r="D28" s="134">
        <f>H27</f>
        <v/>
      </c>
      <c r="E28" s="134">
        <f>IF(OR(D28&lt;=0.000001,차입금_상환!$C$7&lt;=0),0,D28*차입금_상환!$C$7)</f>
        <v/>
      </c>
      <c r="F28" s="134">
        <f>IF(D28&lt;=0.000001,0,IF(B28&lt;=차입금_상환!$C$9,0,IF(차입금_상환!$C$10="원리금균등",MIN(D28,MAX(0,차입금_상환!$C$12-E28)),IF(차입금_상환!$C$10="원금균등",MIN(D28,차입금_상환!$C$6/차입금_상환!$C$11),IF(B28=차입금_상환!$C$8,D28,0)))))</f>
        <v/>
      </c>
      <c r="G28" s="134">
        <f>E28+F28</f>
        <v/>
      </c>
      <c r="H28" s="134">
        <f>MAX(0,D28-F28)</f>
        <v/>
      </c>
      <c r="I28" s="101" t="n"/>
    </row>
    <row r="29">
      <c r="B29" s="148" t="n">
        <v>10</v>
      </c>
      <c r="C29" s="62" t="inlineStr">
        <is>
          <t>y+9</t>
        </is>
      </c>
      <c r="D29" s="134">
        <f>H28</f>
        <v/>
      </c>
      <c r="E29" s="134">
        <f>IF(OR(D29&lt;=0.000001,차입금_상환!$C$7&lt;=0),0,D29*차입금_상환!$C$7)</f>
        <v/>
      </c>
      <c r="F29" s="134">
        <f>IF(D29&lt;=0.000001,0,IF(B29&lt;=차입금_상환!$C$9,0,IF(차입금_상환!$C$10="원리금균등",MIN(D29,MAX(0,차입금_상환!$C$12-E29)),IF(차입금_상환!$C$10="원금균등",MIN(D29,차입금_상환!$C$6/차입금_상환!$C$11),IF(B29=차입금_상환!$C$8,D29,0)))))</f>
        <v/>
      </c>
      <c r="G29" s="134">
        <f>E29+F29</f>
        <v/>
      </c>
      <c r="H29" s="134">
        <f>MAX(0,D29-F29)</f>
        <v/>
      </c>
      <c r="I29" s="101" t="n"/>
    </row>
    <row r="30">
      <c r="B30" s="148" t="n">
        <v>11</v>
      </c>
      <c r="C30" s="62" t="inlineStr">
        <is>
          <t>y+10</t>
        </is>
      </c>
      <c r="D30" s="134">
        <f>H29</f>
        <v/>
      </c>
      <c r="E30" s="134">
        <f>IF(OR(D30&lt;=0.000001,차입금_상환!$C$7&lt;=0),0,D30*차입금_상환!$C$7)</f>
        <v/>
      </c>
      <c r="F30" s="134">
        <f>IF(D30&lt;=0.000001,0,IF(B30&lt;=차입금_상환!$C$9,0,IF(차입금_상환!$C$10="원리금균등",MIN(D30,MAX(0,차입금_상환!$C$12-E30)),IF(차입금_상환!$C$10="원금균등",MIN(D30,차입금_상환!$C$6/차입금_상환!$C$11),IF(B30=차입금_상환!$C$8,D30,0)))))</f>
        <v/>
      </c>
      <c r="G30" s="134">
        <f>E30+F30</f>
        <v/>
      </c>
      <c r="H30" s="134">
        <f>MAX(0,D30-F30)</f>
        <v/>
      </c>
      <c r="I30" s="101" t="n"/>
    </row>
    <row r="31">
      <c r="B31" s="148" t="n">
        <v>12</v>
      </c>
      <c r="C31" s="37" t="n"/>
      <c r="D31" s="134">
        <f>H30</f>
        <v/>
      </c>
      <c r="E31" s="134">
        <f>IF(OR(D31&lt;=0.000001,차입금_상환!$C$7&lt;=0),0,D31*차입금_상환!$C$7)</f>
        <v/>
      </c>
      <c r="F31" s="134">
        <f>IF(D31&lt;=0.000001,0,IF(B31&lt;=차입금_상환!$C$9,0,IF(차입금_상환!$C$10="원리금균등",MIN(D31,MAX(0,차입금_상환!$C$12-E31)),IF(차입금_상환!$C$10="원금균등",MIN(D31,차입금_상환!$C$6/차입금_상환!$C$11),IF(B31=차입금_상환!$C$8,D31,0)))))</f>
        <v/>
      </c>
      <c r="G31" s="134">
        <f>E31+F31</f>
        <v/>
      </c>
      <c r="H31" s="134">
        <f>MAX(0,D31-F31)</f>
        <v/>
      </c>
      <c r="I31" s="101" t="n"/>
    </row>
    <row r="32">
      <c r="B32" s="148" t="n">
        <v>13</v>
      </c>
      <c r="C32" s="37" t="n"/>
      <c r="D32" s="134">
        <f>H31</f>
        <v/>
      </c>
      <c r="E32" s="134">
        <f>IF(OR(D32&lt;=0.000001,차입금_상환!$C$7&lt;=0),0,D32*차입금_상환!$C$7)</f>
        <v/>
      </c>
      <c r="F32" s="134">
        <f>IF(D32&lt;=0.000001,0,IF(B32&lt;=차입금_상환!$C$9,0,IF(차입금_상환!$C$10="원리금균등",MIN(D32,MAX(0,차입금_상환!$C$12-E32)),IF(차입금_상환!$C$10="원금균등",MIN(D32,차입금_상환!$C$6/차입금_상환!$C$11),IF(B32=차입금_상환!$C$8,D32,0)))))</f>
        <v/>
      </c>
      <c r="G32" s="134">
        <f>E32+F32</f>
        <v/>
      </c>
      <c r="H32" s="134">
        <f>MAX(0,D32-F32)</f>
        <v/>
      </c>
      <c r="I32" s="101" t="n"/>
    </row>
    <row r="33">
      <c r="B33" s="148" t="n">
        <v>14</v>
      </c>
      <c r="C33" s="37" t="n"/>
      <c r="D33" s="134">
        <f>H32</f>
        <v/>
      </c>
      <c r="E33" s="134">
        <f>IF(OR(D33&lt;=0.000001,차입금_상환!$C$7&lt;=0),0,D33*차입금_상환!$C$7)</f>
        <v/>
      </c>
      <c r="F33" s="134">
        <f>IF(D33&lt;=0.000001,0,IF(B33&lt;=차입금_상환!$C$9,0,IF(차입금_상환!$C$10="원리금균등",MIN(D33,MAX(0,차입금_상환!$C$12-E33)),IF(차입금_상환!$C$10="원금균등",MIN(D33,차입금_상환!$C$6/차입금_상환!$C$11),IF(B33=차입금_상환!$C$8,D33,0)))))</f>
        <v/>
      </c>
      <c r="G33" s="134">
        <f>E33+F33</f>
        <v/>
      </c>
      <c r="H33" s="134">
        <f>MAX(0,D33-F33)</f>
        <v/>
      </c>
      <c r="I33" s="101" t="n"/>
    </row>
    <row r="34">
      <c r="B34" s="148" t="n">
        <v>15</v>
      </c>
      <c r="C34" s="37" t="n"/>
      <c r="D34" s="134">
        <f>H33</f>
        <v/>
      </c>
      <c r="E34" s="134">
        <f>IF(OR(D34&lt;=0.000001,차입금_상환!$C$7&lt;=0),0,D34*차입금_상환!$C$7)</f>
        <v/>
      </c>
      <c r="F34" s="134">
        <f>IF(D34&lt;=0.000001,0,IF(B34&lt;=차입금_상환!$C$9,0,IF(차입금_상환!$C$10="원리금균등",MIN(D34,MAX(0,차입금_상환!$C$12-E34)),IF(차입금_상환!$C$10="원금균등",MIN(D34,차입금_상환!$C$6/차입금_상환!$C$11),IF(B34=차입금_상환!$C$8,D34,0)))))</f>
        <v/>
      </c>
      <c r="G34" s="134">
        <f>E34+F34</f>
        <v/>
      </c>
      <c r="H34" s="134">
        <f>MAX(0,D34-F34)</f>
        <v/>
      </c>
      <c r="I34" s="101" t="n"/>
    </row>
    <row r="35">
      <c r="B35" s="4" t="inlineStr">
        <is>
          <t>합계</t>
        </is>
      </c>
      <c r="E35" s="131">
        <f>SUM(E20:E34)</f>
        <v/>
      </c>
      <c r="F35" s="131">
        <f>SUM(F20:F34)</f>
        <v/>
      </c>
      <c r="G35" s="131">
        <f>SUM(G20:G34)</f>
        <v/>
      </c>
    </row>
    <row r="36">
      <c r="B36" s="3" t="inlineStr">
        <is>
          <t>거치기간에는 이자만, 이후 남은 해에 걸쳐 원금 상환. 만기일시는 만기 연도에 잔액 일시 상환. 이자율 0이면 이자 0.</t>
        </is>
      </c>
    </row>
  </sheetData>
  <pageMargins left="0.75" right="0.75" top="1" bottom="1" header="0.511811023622047" footer="0.511811023622047"/>
  <pageSetup orientation="landscape" fitToHeight="0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B1:P65"/>
  <sheetViews>
    <sheetView zoomScale="85" zoomScaleNormal="85" workbookViewId="0">
      <pane xSplit="3" ySplit="6" topLeftCell="D7" activePane="bottomRight" state="frozen"/>
      <selection pane="topRight" activeCell="D1" sqref="D1"/>
      <selection pane="bottomLeft" activeCell="A7" sqref="A7"/>
      <selection pane="bottomRight" activeCell="K20" sqref="K20"/>
    </sheetView>
  </sheetViews>
  <sheetFormatPr baseColWidth="8" defaultColWidth="8.7109375" defaultRowHeight="15"/>
  <cols>
    <col width="2" customWidth="1" min="1" max="1"/>
    <col width="34" customWidth="1" min="2" max="2"/>
    <col width="10" customWidth="1" min="3" max="3"/>
    <col width="10.5703125" customWidth="1" min="4" max="15"/>
    <col width="60" customWidth="1" min="16" max="16"/>
  </cols>
  <sheetData>
    <row r="1" ht="26.25" customHeight="1">
      <c r="B1" s="74" t="inlineStr">
        <is>
          <t>10개년 예상 손익계산서 — 대조 선박 (단위: 백만원)</t>
        </is>
      </c>
    </row>
    <row r="2">
      <c r="B2" s="21" t="n"/>
    </row>
    <row r="4" ht="27" customHeight="1">
      <c r="B4" s="75" t="inlineStr">
        <is>
          <t>과 목</t>
        </is>
      </c>
      <c r="C4" s="75" t="inlineStr">
        <is>
          <t>성장률</t>
        </is>
      </c>
      <c r="D4" s="76" t="inlineStr">
        <is>
          <t>58기</t>
        </is>
      </c>
      <c r="E4" s="76" t="inlineStr">
        <is>
          <t>59기</t>
        </is>
      </c>
      <c r="F4" s="76" t="inlineStr">
        <is>
          <t>60기</t>
        </is>
      </c>
      <c r="G4" s="76" t="inlineStr">
        <is>
          <t>61기</t>
        </is>
      </c>
      <c r="H4" s="76" t="inlineStr">
        <is>
          <t>62기</t>
        </is>
      </c>
      <c r="I4" s="76" t="inlineStr">
        <is>
          <t>63기</t>
        </is>
      </c>
      <c r="J4" s="76" t="inlineStr">
        <is>
          <t>64기</t>
        </is>
      </c>
      <c r="K4" s="76" t="inlineStr">
        <is>
          <t>65기</t>
        </is>
      </c>
      <c r="L4" s="76" t="inlineStr">
        <is>
          <t>66기</t>
        </is>
      </c>
      <c r="M4" s="76" t="inlineStr">
        <is>
          <t>67기</t>
        </is>
      </c>
      <c r="N4" s="76" t="inlineStr">
        <is>
          <t>68기</t>
        </is>
      </c>
      <c r="O4" s="77" t="inlineStr">
        <is>
          <t>y+1~y+10 평균</t>
        </is>
      </c>
      <c r="P4" s="78" t="inlineStr">
        <is>
          <t>근거</t>
        </is>
      </c>
    </row>
    <row r="5">
      <c r="B5" s="9" t="inlineStr">
        <is>
          <t>n (경과 연수)</t>
        </is>
      </c>
      <c r="D5" s="149" t="n">
        <v>0</v>
      </c>
      <c r="E5" s="149" t="n">
        <v>1</v>
      </c>
      <c r="F5" s="149" t="n">
        <v>2</v>
      </c>
      <c r="G5" s="149" t="n">
        <v>3</v>
      </c>
      <c r="H5" s="149" t="n">
        <v>4</v>
      </c>
      <c r="I5" s="149" t="n">
        <v>5</v>
      </c>
      <c r="J5" s="149" t="n">
        <v>6</v>
      </c>
      <c r="K5" s="149" t="n">
        <v>7</v>
      </c>
      <c r="L5" s="149" t="n">
        <v>8</v>
      </c>
      <c r="M5" s="149" t="n">
        <v>9</v>
      </c>
      <c r="N5" s="149" t="n">
        <v>10</v>
      </c>
      <c r="O5" s="101" t="n"/>
      <c r="P5" s="101" t="n"/>
    </row>
    <row r="6">
      <c r="B6" s="11" t="inlineStr">
        <is>
          <t>회계연도</t>
        </is>
      </c>
      <c r="D6" s="62" t="inlineStr">
        <is>
          <t>2025</t>
        </is>
      </c>
      <c r="E6" s="62" t="inlineStr">
        <is>
          <t>2026</t>
        </is>
      </c>
      <c r="F6" s="62" t="inlineStr">
        <is>
          <t>2027</t>
        </is>
      </c>
      <c r="G6" s="62" t="inlineStr">
        <is>
          <t>2028</t>
        </is>
      </c>
      <c r="H6" s="62" t="inlineStr">
        <is>
          <t>2029</t>
        </is>
      </c>
      <c r="I6" s="62" t="inlineStr">
        <is>
          <t>2030</t>
        </is>
      </c>
      <c r="J6" s="62" t="inlineStr">
        <is>
          <t>2031</t>
        </is>
      </c>
      <c r="K6" s="62" t="inlineStr">
        <is>
          <t>2032</t>
        </is>
      </c>
      <c r="L6" s="62" t="inlineStr">
        <is>
          <t>2033</t>
        </is>
      </c>
      <c r="M6" s="62" t="inlineStr">
        <is>
          <t>2034</t>
        </is>
      </c>
      <c r="N6" s="62" t="inlineStr">
        <is>
          <t>2035</t>
        </is>
      </c>
      <c r="O6" s="101" t="n"/>
      <c r="P6" s="101" t="n"/>
    </row>
    <row r="7">
      <c r="B7" s="7" t="inlineStr">
        <is>
          <t>Ⅰ. 매출액</t>
        </is>
      </c>
      <c r="C7" s="80" t="n"/>
      <c r="D7" s="131">
        <f>D8++D9++D10++D11</f>
        <v/>
      </c>
      <c r="E7" s="131">
        <f>E8++E9++E10++E11</f>
        <v/>
      </c>
      <c r="F7" s="131">
        <f>F8++F9++F10++F11</f>
        <v/>
      </c>
      <c r="G7" s="131">
        <f>G8++G9++G10++G11</f>
        <v/>
      </c>
      <c r="H7" s="131">
        <f>H8++H9++H10++H11</f>
        <v/>
      </c>
      <c r="I7" s="131">
        <f>I8++I9++I10++I11</f>
        <v/>
      </c>
      <c r="J7" s="131">
        <f>J8++J9++J10++J11</f>
        <v/>
      </c>
      <c r="K7" s="131">
        <f>K8++K9++K10++K11</f>
        <v/>
      </c>
      <c r="L7" s="131">
        <f>L8++L9++L10++L11</f>
        <v/>
      </c>
      <c r="M7" s="131">
        <f>M8++M9++M10++M11</f>
        <v/>
      </c>
      <c r="N7" s="131">
        <f>N8++N9++N10++N11</f>
        <v/>
      </c>
      <c r="O7" s="150">
        <f>AVERAGE(E7:N7)</f>
        <v/>
      </c>
      <c r="P7" s="11" t="n"/>
    </row>
    <row r="8">
      <c r="B8" s="38" t="inlineStr">
        <is>
          <t>여객수입</t>
        </is>
      </c>
      <c r="C8" s="60">
        <f>설정값!$D$70</f>
        <v/>
      </c>
      <c r="D8" s="134">
        <f>대조선박_손익!$C$49/1000000</f>
        <v/>
      </c>
      <c r="E8" s="134">
        <f>$D8*(1+$C8)^E$5</f>
        <v/>
      </c>
      <c r="F8" s="134">
        <f>$D8*(1+$C8)^F$5</f>
        <v/>
      </c>
      <c r="G8" s="134">
        <f>$D8*(1+$C8)^G$5</f>
        <v/>
      </c>
      <c r="H8" s="134">
        <f>$D8*(1+$C8)^H$5</f>
        <v/>
      </c>
      <c r="I8" s="134">
        <f>$D8*(1+$C8)^I$5</f>
        <v/>
      </c>
      <c r="J8" s="134">
        <f>$D8*(1+$C8)^J$5</f>
        <v/>
      </c>
      <c r="K8" s="134">
        <f>$D8*(1+$C8)^K$5</f>
        <v/>
      </c>
      <c r="L8" s="134">
        <f>$D8*(1+$C8)^L$5</f>
        <v/>
      </c>
      <c r="M8" s="134">
        <f>$D8*(1+$C8)^M$5</f>
        <v/>
      </c>
      <c r="N8" s="134">
        <f>$D8*(1+$C8)^N$5</f>
        <v/>
      </c>
      <c r="O8" s="151">
        <f>AVERAGE(E8:N8)</f>
        <v/>
      </c>
      <c r="P8" s="11" t="n"/>
    </row>
    <row r="9">
      <c r="B9" s="38" t="inlineStr">
        <is>
          <t>화물수입 (+α)</t>
        </is>
      </c>
      <c r="C9" s="60">
        <f>설정값!$D$71</f>
        <v/>
      </c>
      <c r="D9" s="134">
        <f>대조선박_손익!$C$50/1000000</f>
        <v/>
      </c>
      <c r="E9" s="134">
        <f>$D9*(1+$C9)^E$5</f>
        <v/>
      </c>
      <c r="F9" s="134">
        <f>$D9*(1+$C9)^F$5</f>
        <v/>
      </c>
      <c r="G9" s="134">
        <f>$D9*(1+$C9)^G$5</f>
        <v/>
      </c>
      <c r="H9" s="134">
        <f>$D9*(1+$C9)^H$5</f>
        <v/>
      </c>
      <c r="I9" s="134">
        <f>$D9*(1+$C9)^I$5</f>
        <v/>
      </c>
      <c r="J9" s="134">
        <f>$D9*(1+$C9)^J$5</f>
        <v/>
      </c>
      <c r="K9" s="134">
        <f>$D9*(1+$C9)^K$5</f>
        <v/>
      </c>
      <c r="L9" s="134">
        <f>$D9*(1+$C9)^L$5</f>
        <v/>
      </c>
      <c r="M9" s="134">
        <f>$D9*(1+$C9)^M$5</f>
        <v/>
      </c>
      <c r="N9" s="134">
        <f>$D9*(1+$C9)^N$5</f>
        <v/>
      </c>
      <c r="O9" s="151">
        <f>AVERAGE(E9:N9)</f>
        <v/>
      </c>
      <c r="P9" s="9" t="inlineStr">
        <is>
          <t>+α: 운임 미산정 항목(캐러밴·일반화물)의 이익 여분</t>
        </is>
      </c>
    </row>
    <row r="10">
      <c r="B10" s="38" t="inlineStr">
        <is>
          <t>임대료수입</t>
        </is>
      </c>
      <c r="C10" s="60">
        <f>설정값!$D$72</f>
        <v/>
      </c>
      <c r="D10" s="134">
        <f>대조선박_손익!$C$51/1000000</f>
        <v/>
      </c>
      <c r="E10" s="134">
        <f>$D10*(1+$C10)^E$5</f>
        <v/>
      </c>
      <c r="F10" s="134">
        <f>$D10*(1+$C10)^F$5</f>
        <v/>
      </c>
      <c r="G10" s="134">
        <f>$D10*(1+$C10)^G$5</f>
        <v/>
      </c>
      <c r="H10" s="134">
        <f>$D10*(1+$C10)^H$5</f>
        <v/>
      </c>
      <c r="I10" s="134">
        <f>$D10*(1+$C10)^I$5</f>
        <v/>
      </c>
      <c r="J10" s="134">
        <f>$D10*(1+$C10)^J$5</f>
        <v/>
      </c>
      <c r="K10" s="134">
        <f>$D10*(1+$C10)^K$5</f>
        <v/>
      </c>
      <c r="L10" s="134">
        <f>$D10*(1+$C10)^L$5</f>
        <v/>
      </c>
      <c r="M10" s="134">
        <f>$D10*(1+$C10)^M$5</f>
        <v/>
      </c>
      <c r="N10" s="134">
        <f>$D10*(1+$C10)^N$5</f>
        <v/>
      </c>
      <c r="O10" s="151">
        <f>AVERAGE(E10:N10)</f>
        <v/>
      </c>
      <c r="P10" s="11" t="n"/>
    </row>
    <row r="11">
      <c r="B11" s="38" t="inlineStr">
        <is>
          <t>면세수입 (감안)</t>
        </is>
      </c>
      <c r="C11" s="60" t="n"/>
      <c r="D11" s="134" t="n">
        <v>0</v>
      </c>
      <c r="E11" s="134" t="n">
        <v>0</v>
      </c>
      <c r="F11" s="134" t="n">
        <v>0</v>
      </c>
      <c r="G11" s="134" t="n">
        <v>0</v>
      </c>
      <c r="H11" s="134" t="n">
        <v>0</v>
      </c>
      <c r="I11" s="134" t="n">
        <v>0</v>
      </c>
      <c r="J11" s="134" t="n">
        <v>0</v>
      </c>
      <c r="K11" s="134" t="n">
        <v>0</v>
      </c>
      <c r="L11" s="134" t="n">
        <v>0</v>
      </c>
      <c r="M11" s="134" t="n">
        <v>0</v>
      </c>
      <c r="N11" s="134" t="n">
        <v>0</v>
      </c>
      <c r="O11" s="151">
        <f>AVERAGE(E11:N11)</f>
        <v/>
      </c>
      <c r="P11" s="11" t="inlineStr">
        <is>
          <t>대저페리는 내항선이라 현재 없음 — 외항선이면 면세품 판매 수입 기대. 잠재 매출로 감안 (미반영)</t>
        </is>
      </c>
    </row>
    <row r="12">
      <c r="B12" s="7" t="inlineStr">
        <is>
          <t>Ⅱ. 운항원가 (−)</t>
        </is>
      </c>
      <c r="C12" s="80" t="n"/>
      <c r="D12" s="131">
        <f>D13++D14++D15++D16++D17++D18++D19++D25</f>
        <v/>
      </c>
      <c r="E12" s="131">
        <f>E13++E14++E15++E16++E17++E18++E19++E25</f>
        <v/>
      </c>
      <c r="F12" s="131">
        <f>F13++F14++F15++F16++F17++F18++F19++F25</f>
        <v/>
      </c>
      <c r="G12" s="131">
        <f>G13++G14++G15++G16++G17++G18++G19++G25</f>
        <v/>
      </c>
      <c r="H12" s="131">
        <f>H13++H14++H15++H16++H17++H18++H19++H25</f>
        <v/>
      </c>
      <c r="I12" s="131">
        <f>I13++I14++I15++I16++I17++I18++I19++I25</f>
        <v/>
      </c>
      <c r="J12" s="131">
        <f>J13++J14++J15++J16++J17++J18++J19++J25</f>
        <v/>
      </c>
      <c r="K12" s="131">
        <f>K13++K14++K15++K16++K17++K18++K19++K25</f>
        <v/>
      </c>
      <c r="L12" s="131">
        <f>L13++L14++L15++L16++L17++L18++L19++L25</f>
        <v/>
      </c>
      <c r="M12" s="131">
        <f>M13++M14++M15++M16++M17++M18++M19++M25</f>
        <v/>
      </c>
      <c r="N12" s="131">
        <f>N13++N14++N15++N16++N17++N18++N19++N25</f>
        <v/>
      </c>
      <c r="O12" s="150">
        <f>AVERAGE(E12:N12)</f>
        <v/>
      </c>
      <c r="P12" s="11" t="n"/>
    </row>
    <row r="13">
      <c r="B13" s="38" t="inlineStr">
        <is>
          <t>급여 (해상직원)</t>
        </is>
      </c>
      <c r="C13" s="60">
        <f>설정값!$D$73</f>
        <v/>
      </c>
      <c r="D13" s="134">
        <f>대조선박_손익!$C$53/1000000</f>
        <v/>
      </c>
      <c r="E13" s="134">
        <f>$D13*(1+$C13)^E$5</f>
        <v/>
      </c>
      <c r="F13" s="134">
        <f>$D13*(1+$C13)^F$5</f>
        <v/>
      </c>
      <c r="G13" s="134">
        <f>$D13*(1+$C13)^G$5</f>
        <v/>
      </c>
      <c r="H13" s="134">
        <f>$D13*(1+$C13)^H$5</f>
        <v/>
      </c>
      <c r="I13" s="134">
        <f>$D13*(1+$C13)^I$5</f>
        <v/>
      </c>
      <c r="J13" s="134">
        <f>$D13*(1+$C13)^J$5</f>
        <v/>
      </c>
      <c r="K13" s="134">
        <f>$D13*(1+$C13)^K$5</f>
        <v/>
      </c>
      <c r="L13" s="134">
        <f>$D13*(1+$C13)^L$5</f>
        <v/>
      </c>
      <c r="M13" s="134">
        <f>$D13*(1+$C13)^M$5</f>
        <v/>
      </c>
      <c r="N13" s="134">
        <f>$D13*(1+$C13)^N$5</f>
        <v/>
      </c>
      <c r="O13" s="151">
        <f>AVERAGE(E13:N13)</f>
        <v/>
      </c>
      <c r="P13" s="11" t="n"/>
    </row>
    <row r="14">
      <c r="B14" s="38" t="inlineStr">
        <is>
          <t>퇴직급여 (해상직원)</t>
        </is>
      </c>
      <c r="C14" s="60">
        <f>설정값!$D$74</f>
        <v/>
      </c>
      <c r="D14" s="134">
        <f>대조선박_손익!$C$54/1000000</f>
        <v/>
      </c>
      <c r="E14" s="134">
        <f>$D14*(1+$C14)^E$5</f>
        <v/>
      </c>
      <c r="F14" s="134">
        <f>$D14*(1+$C14)^F$5</f>
        <v/>
      </c>
      <c r="G14" s="134">
        <f>$D14*(1+$C14)^G$5</f>
        <v/>
      </c>
      <c r="H14" s="134">
        <f>$D14*(1+$C14)^H$5</f>
        <v/>
      </c>
      <c r="I14" s="134">
        <f>$D14*(1+$C14)^I$5</f>
        <v/>
      </c>
      <c r="J14" s="134">
        <f>$D14*(1+$C14)^J$5</f>
        <v/>
      </c>
      <c r="K14" s="134">
        <f>$D14*(1+$C14)^K$5</f>
        <v/>
      </c>
      <c r="L14" s="134">
        <f>$D14*(1+$C14)^L$5</f>
        <v/>
      </c>
      <c r="M14" s="134">
        <f>$D14*(1+$C14)^M$5</f>
        <v/>
      </c>
      <c r="N14" s="134">
        <f>$D14*(1+$C14)^N$5</f>
        <v/>
      </c>
      <c r="O14" s="151">
        <f>AVERAGE(E14:N14)</f>
        <v/>
      </c>
      <c r="P14" s="11" t="n"/>
    </row>
    <row r="15">
      <c r="B15" s="38" t="inlineStr">
        <is>
          <t>복리후생비 (해상직원)</t>
        </is>
      </c>
      <c r="C15" s="60">
        <f>설정값!$D$75</f>
        <v/>
      </c>
      <c r="D15" s="134">
        <f>대조선박_손익!$C$55/1000000</f>
        <v/>
      </c>
      <c r="E15" s="134">
        <f>$D15*(1+$C15)^E$5</f>
        <v/>
      </c>
      <c r="F15" s="134">
        <f>$D15*(1+$C15)^F$5</f>
        <v/>
      </c>
      <c r="G15" s="134">
        <f>$D15*(1+$C15)^G$5</f>
        <v/>
      </c>
      <c r="H15" s="134">
        <f>$D15*(1+$C15)^H$5</f>
        <v/>
      </c>
      <c r="I15" s="134">
        <f>$D15*(1+$C15)^I$5</f>
        <v/>
      </c>
      <c r="J15" s="134">
        <f>$D15*(1+$C15)^J$5</f>
        <v/>
      </c>
      <c r="K15" s="134">
        <f>$D15*(1+$C15)^K$5</f>
        <v/>
      </c>
      <c r="L15" s="134">
        <f>$D15*(1+$C15)^L$5</f>
        <v/>
      </c>
      <c r="M15" s="134">
        <f>$D15*(1+$C15)^M$5</f>
        <v/>
      </c>
      <c r="N15" s="134">
        <f>$D15*(1+$C15)^N$5</f>
        <v/>
      </c>
      <c r="O15" s="151">
        <f>AVERAGE(E15:N15)</f>
        <v/>
      </c>
      <c r="P15" s="11" t="n"/>
    </row>
    <row r="16">
      <c r="B16" s="38" t="inlineStr">
        <is>
          <t>감가상각비</t>
        </is>
      </c>
      <c r="C16" s="60">
        <f>설정값!$D$76</f>
        <v/>
      </c>
      <c r="D16" s="134">
        <f>대조선박_손익!$C$56/1000000</f>
        <v/>
      </c>
      <c r="E16" s="134">
        <f>$D16*(1+$C16)^E$5</f>
        <v/>
      </c>
      <c r="F16" s="134">
        <f>$D16*(1+$C16)^F$5</f>
        <v/>
      </c>
      <c r="G16" s="134">
        <f>$D16*(1+$C16)^G$5</f>
        <v/>
      </c>
      <c r="H16" s="134">
        <f>$D16*(1+$C16)^H$5</f>
        <v/>
      </c>
      <c r="I16" s="134">
        <f>$D16*(1+$C16)^I$5</f>
        <v/>
      </c>
      <c r="J16" s="134">
        <f>$D16*(1+$C16)^J$5</f>
        <v/>
      </c>
      <c r="K16" s="134">
        <f>$D16*(1+$C16)^K$5</f>
        <v/>
      </c>
      <c r="L16" s="134">
        <f>$D16*(1+$C16)^L$5</f>
        <v/>
      </c>
      <c r="M16" s="134">
        <f>$D16*(1+$C16)^M$5</f>
        <v/>
      </c>
      <c r="N16" s="134">
        <f>$D16*(1+$C16)^N$5</f>
        <v/>
      </c>
      <c r="O16" s="151">
        <f>AVERAGE(E16:N16)</f>
        <v/>
      </c>
      <c r="P16" s="11" t="n"/>
    </row>
    <row r="17">
      <c r="B17" s="38" t="inlineStr">
        <is>
          <t>세금과공과</t>
        </is>
      </c>
      <c r="C17" s="60">
        <f>설정값!$D$77</f>
        <v/>
      </c>
      <c r="D17" s="134">
        <f>대조선박_손익!$C$57/1000000</f>
        <v/>
      </c>
      <c r="E17" s="134">
        <f>$D17*(1+$C17)^E$5</f>
        <v/>
      </c>
      <c r="F17" s="134">
        <f>$D17*(1+$C17)^F$5</f>
        <v/>
      </c>
      <c r="G17" s="134">
        <f>$D17*(1+$C17)^G$5</f>
        <v/>
      </c>
      <c r="H17" s="134">
        <f>$D17*(1+$C17)^H$5</f>
        <v/>
      </c>
      <c r="I17" s="134">
        <f>$D17*(1+$C17)^I$5</f>
        <v/>
      </c>
      <c r="J17" s="134">
        <f>$D17*(1+$C17)^J$5</f>
        <v/>
      </c>
      <c r="K17" s="134">
        <f>$D17*(1+$C17)^K$5</f>
        <v/>
      </c>
      <c r="L17" s="134">
        <f>$D17*(1+$C17)^L$5</f>
        <v/>
      </c>
      <c r="M17" s="134">
        <f>$D17*(1+$C17)^M$5</f>
        <v/>
      </c>
      <c r="N17" s="134">
        <f>$D17*(1+$C17)^N$5</f>
        <v/>
      </c>
      <c r="O17" s="151">
        <f>AVERAGE(E17:N17)</f>
        <v/>
      </c>
      <c r="P17" s="11" t="n"/>
    </row>
    <row r="18">
      <c r="B18" s="38" t="inlineStr">
        <is>
          <t>임차료</t>
        </is>
      </c>
      <c r="C18" s="60">
        <f>설정값!$D$78</f>
        <v/>
      </c>
      <c r="D18" s="134">
        <f>대조선박_손익!$C$58/1000000</f>
        <v/>
      </c>
      <c r="E18" s="134">
        <f>$D18*(1+$C18)^E$5</f>
        <v/>
      </c>
      <c r="F18" s="134">
        <f>$D18*(1+$C18)^F$5</f>
        <v/>
      </c>
      <c r="G18" s="134">
        <f>$D18*(1+$C18)^G$5</f>
        <v/>
      </c>
      <c r="H18" s="134">
        <f>$D18*(1+$C18)^H$5</f>
        <v/>
      </c>
      <c r="I18" s="134">
        <f>$D18*(1+$C18)^I$5</f>
        <v/>
      </c>
      <c r="J18" s="134">
        <f>$D18*(1+$C18)^J$5</f>
        <v/>
      </c>
      <c r="K18" s="134">
        <f>$D18*(1+$C18)^K$5</f>
        <v/>
      </c>
      <c r="L18" s="134">
        <f>$D18*(1+$C18)^L$5</f>
        <v/>
      </c>
      <c r="M18" s="134">
        <f>$D18*(1+$C18)^M$5</f>
        <v/>
      </c>
      <c r="N18" s="134">
        <f>$D18*(1+$C18)^N$5</f>
        <v/>
      </c>
      <c r="O18" s="151">
        <f>AVERAGE(E18:N18)</f>
        <v/>
      </c>
      <c r="P18" s="11" t="n"/>
    </row>
    <row r="19">
      <c r="B19" s="38" t="inlineStr">
        <is>
          <t>운항기타</t>
        </is>
      </c>
      <c r="C19" s="60" t="n"/>
      <c r="D19" s="134">
        <f>D20++D21++D22++D23++D24</f>
        <v/>
      </c>
      <c r="E19" s="134">
        <f>E20++E21++E22++E23++E24</f>
        <v/>
      </c>
      <c r="F19" s="134">
        <f>F20++F21++F22++F23++F24</f>
        <v/>
      </c>
      <c r="G19" s="134">
        <f>G20++G21++G22++G23++G24</f>
        <v/>
      </c>
      <c r="H19" s="134">
        <f>H20++H21++H22++H23++H24</f>
        <v/>
      </c>
      <c r="I19" s="134">
        <f>I20++I21++I22++I23++I24</f>
        <v/>
      </c>
      <c r="J19" s="134">
        <f>J20++J21++J22++J23++J24</f>
        <v/>
      </c>
      <c r="K19" s="134">
        <f>K20++K21++K22++K23++K24</f>
        <v/>
      </c>
      <c r="L19" s="134">
        <f>L20++L21++L22++L23++L24</f>
        <v/>
      </c>
      <c r="M19" s="134">
        <f>M20++M21++M22++M23++M24</f>
        <v/>
      </c>
      <c r="N19" s="134">
        <f>N20++N21++N22++N23++N24</f>
        <v/>
      </c>
      <c r="O19" s="151">
        <f>AVERAGE(E19:N19)</f>
        <v/>
      </c>
      <c r="P19" s="11" t="inlineStr">
        <is>
          <t>아래 5개 세목의 합</t>
        </is>
      </c>
    </row>
    <row r="20">
      <c r="B20" s="68" t="inlineStr">
        <is>
          <t>· 연료비</t>
        </is>
      </c>
      <c r="C20" s="60">
        <f>설정값!$D$79</f>
        <v/>
      </c>
      <c r="D20" s="134">
        <f>대조선박_손익!$C$60/1000000</f>
        <v/>
      </c>
      <c r="E20" s="134">
        <f>$D20*(1+$C20)^E$5</f>
        <v/>
      </c>
      <c r="F20" s="134">
        <f>$D20*(1+$C20)^F$5</f>
        <v/>
      </c>
      <c r="G20" s="134">
        <f>$D20*(1+$C20)^G$5</f>
        <v/>
      </c>
      <c r="H20" s="134">
        <f>$D20*(1+$C20)^H$5</f>
        <v/>
      </c>
      <c r="I20" s="134">
        <f>$D20*(1+$C20)^I$5</f>
        <v/>
      </c>
      <c r="J20" s="134">
        <f>$D20*(1+$C20)^J$5</f>
        <v/>
      </c>
      <c r="K20" s="134">
        <f>$D20*(1+$C20)^K$5</f>
        <v/>
      </c>
      <c r="L20" s="134">
        <f>$D20*(1+$C20)^L$5</f>
        <v/>
      </c>
      <c r="M20" s="134">
        <f>$D20*(1+$C20)^M$5</f>
        <v/>
      </c>
      <c r="N20" s="134">
        <f>$D20*(1+$C20)^N$5</f>
        <v/>
      </c>
      <c r="O20" s="151">
        <f>AVERAGE(E20:N20)</f>
        <v/>
      </c>
      <c r="P20" s="9" t="inlineStr">
        <is>
          <t>y+0에 현재 유가·환율 배율이 이미 반영됨 — 성장률은 그 위에 매년 복리 (레벨 shift vs 연간 변화율, 이중 반영 아님)</t>
        </is>
      </c>
    </row>
    <row r="21">
      <c r="B21" s="68" t="inlineStr">
        <is>
          <t>· 항비</t>
        </is>
      </c>
      <c r="C21" s="60">
        <f>설정값!$D$80</f>
        <v/>
      </c>
      <c r="D21" s="134">
        <f>대조선박_손익!$C$61/1000000</f>
        <v/>
      </c>
      <c r="E21" s="134">
        <f>$D21*(1+$C21)^E$5</f>
        <v/>
      </c>
      <c r="F21" s="134">
        <f>$D21*(1+$C21)^F$5</f>
        <v/>
      </c>
      <c r="G21" s="134">
        <f>$D21*(1+$C21)^G$5</f>
        <v/>
      </c>
      <c r="H21" s="134">
        <f>$D21*(1+$C21)^H$5</f>
        <v/>
      </c>
      <c r="I21" s="134">
        <f>$D21*(1+$C21)^I$5</f>
        <v/>
      </c>
      <c r="J21" s="134">
        <f>$D21*(1+$C21)^J$5</f>
        <v/>
      </c>
      <c r="K21" s="134">
        <f>$D21*(1+$C21)^K$5</f>
        <v/>
      </c>
      <c r="L21" s="134">
        <f>$D21*(1+$C21)^L$5</f>
        <v/>
      </c>
      <c r="M21" s="134">
        <f>$D21*(1+$C21)^M$5</f>
        <v/>
      </c>
      <c r="N21" s="134">
        <f>$D21*(1+$C21)^N$5</f>
        <v/>
      </c>
      <c r="O21" s="151">
        <f>AVERAGE(E21:N21)</f>
        <v/>
      </c>
      <c r="P21" s="11" t="n"/>
    </row>
    <row r="22">
      <c r="B22" s="68" t="inlineStr">
        <is>
          <t>· 보험료</t>
        </is>
      </c>
      <c r="C22" s="60">
        <f>설정값!$D$81</f>
        <v/>
      </c>
      <c r="D22" s="134">
        <f>대조선박_손익!$C$62/1000000</f>
        <v/>
      </c>
      <c r="E22" s="134">
        <f>$D22*(1+$C22)^E$5</f>
        <v/>
      </c>
      <c r="F22" s="134">
        <f>$D22*(1+$C22)^F$5</f>
        <v/>
      </c>
      <c r="G22" s="134">
        <f>$D22*(1+$C22)^G$5</f>
        <v/>
      </c>
      <c r="H22" s="134">
        <f>$D22*(1+$C22)^H$5</f>
        <v/>
      </c>
      <c r="I22" s="134">
        <f>$D22*(1+$C22)^I$5</f>
        <v/>
      </c>
      <c r="J22" s="134">
        <f>$D22*(1+$C22)^J$5</f>
        <v/>
      </c>
      <c r="K22" s="134">
        <f>$D22*(1+$C22)^K$5</f>
        <v/>
      </c>
      <c r="L22" s="134">
        <f>$D22*(1+$C22)^L$5</f>
        <v/>
      </c>
      <c r="M22" s="134">
        <f>$D22*(1+$C22)^M$5</f>
        <v/>
      </c>
      <c r="N22" s="134">
        <f>$D22*(1+$C22)^N$5</f>
        <v/>
      </c>
      <c r="O22" s="151">
        <f>AVERAGE(E22:N22)</f>
        <v/>
      </c>
      <c r="P22" s="11" t="n"/>
    </row>
    <row r="23">
      <c r="B23" s="68" t="inlineStr">
        <is>
          <t>· 수리비 (10년 전용)</t>
        </is>
      </c>
      <c r="C23" s="60">
        <f>설정값!$D$82</f>
        <v/>
      </c>
      <c r="D23" s="134">
        <f>설정값!$D$105</f>
        <v/>
      </c>
      <c r="E23" s="134">
        <f>$D23*(1+$C23)^E$5</f>
        <v/>
      </c>
      <c r="F23" s="134">
        <f>$D23*(1+$C23)^F$5</f>
        <v/>
      </c>
      <c r="G23" s="134">
        <f>$D23*(1+$C23)^G$5</f>
        <v/>
      </c>
      <c r="H23" s="134">
        <f>$D23*(1+$C23)^H$5</f>
        <v/>
      </c>
      <c r="I23" s="134">
        <f>$D23*(1+$C23)^I$5</f>
        <v/>
      </c>
      <c r="J23" s="134">
        <f>$D23*(1+$C23)^J$5</f>
        <v/>
      </c>
      <c r="K23" s="134">
        <f>$D23*(1+$C23)^K$5</f>
        <v/>
      </c>
      <c r="L23" s="134">
        <f>$D23*(1+$C23)^L$5</f>
        <v/>
      </c>
      <c r="M23" s="134">
        <f>$D23*(1+$C23)^M$5</f>
        <v/>
      </c>
      <c r="N23" s="134">
        <f>$D23*(1+$C23)^N$5</f>
        <v/>
      </c>
      <c r="O23" s="151">
        <f>AVERAGE(E23:N23)</f>
        <v/>
      </c>
      <c r="P23" s="11" t="n"/>
    </row>
    <row r="24">
      <c r="B24" s="68" t="inlineStr">
        <is>
          <t>· 선용품비</t>
        </is>
      </c>
      <c r="C24" s="60">
        <f>설정값!$D$83</f>
        <v/>
      </c>
      <c r="D24" s="134">
        <f>대조선박_손익!$C$64/1000000</f>
        <v/>
      </c>
      <c r="E24" s="134">
        <f>$D24*(1+$C24)^E$5</f>
        <v/>
      </c>
      <c r="F24" s="134">
        <f>$D24*(1+$C24)^F$5</f>
        <v/>
      </c>
      <c r="G24" s="134">
        <f>$D24*(1+$C24)^G$5</f>
        <v/>
      </c>
      <c r="H24" s="134">
        <f>$D24*(1+$C24)^H$5</f>
        <v/>
      </c>
      <c r="I24" s="134">
        <f>$D24*(1+$C24)^I$5</f>
        <v/>
      </c>
      <c r="J24" s="134">
        <f>$D24*(1+$C24)^J$5</f>
        <v/>
      </c>
      <c r="K24" s="134">
        <f>$D24*(1+$C24)^K$5</f>
        <v/>
      </c>
      <c r="L24" s="134">
        <f>$D24*(1+$C24)^L$5</f>
        <v/>
      </c>
      <c r="M24" s="134">
        <f>$D24*(1+$C24)^M$5</f>
        <v/>
      </c>
      <c r="N24" s="134">
        <f>$D24*(1+$C24)^N$5</f>
        <v/>
      </c>
      <c r="O24" s="151">
        <f>AVERAGE(E24:N24)</f>
        <v/>
      </c>
      <c r="P24" s="11" t="n"/>
    </row>
    <row r="25">
      <c r="B25" s="38" t="inlineStr">
        <is>
          <t>선체이자</t>
        </is>
      </c>
      <c r="C25" s="60" t="n"/>
      <c r="D25" s="134">
        <f>차입금_상환!$E$20/1000000</f>
        <v/>
      </c>
      <c r="E25" s="134">
        <f>차입금_상환!$E$21/1000000</f>
        <v/>
      </c>
      <c r="F25" s="134">
        <f>차입금_상환!$E$22/1000000</f>
        <v/>
      </c>
      <c r="G25" s="134">
        <f>차입금_상환!$E$23/1000000</f>
        <v/>
      </c>
      <c r="H25" s="134">
        <f>차입금_상환!$E$24/1000000</f>
        <v/>
      </c>
      <c r="I25" s="134">
        <f>차입금_상환!$E$25/1000000</f>
        <v/>
      </c>
      <c r="J25" s="134">
        <f>차입금_상환!$E$26/1000000</f>
        <v/>
      </c>
      <c r="K25" s="134">
        <f>차입금_상환!$E$27/1000000</f>
        <v/>
      </c>
      <c r="L25" s="134">
        <f>차입금_상환!$E$28/1000000</f>
        <v/>
      </c>
      <c r="M25" s="134">
        <f>차입금_상환!$E$29/1000000</f>
        <v/>
      </c>
      <c r="N25" s="134">
        <f>차입금_상환!$E$30/1000000</f>
        <v/>
      </c>
      <c r="O25" s="151">
        <f>AVERAGE(E25:N25)</f>
        <v/>
      </c>
      <c r="P25" s="11" t="inlineStr">
        <is>
          <t>차입금_상환 시트 연도별 이자 — 성장률 미적용. 우리 회사는 선박 차입 이자를 운항원가 "선체이자"로 넣는다 (단일연도 표에서는 영업외비용)</t>
        </is>
      </c>
    </row>
    <row r="26">
      <c r="B26" s="7" t="inlineStr">
        <is>
          <t>Ⅲ. 매출총이익</t>
        </is>
      </c>
      <c r="C26" s="80" t="n"/>
      <c r="D26" s="131">
        <f>D7+-D12</f>
        <v/>
      </c>
      <c r="E26" s="131">
        <f>E7+-E12</f>
        <v/>
      </c>
      <c r="F26" s="131">
        <f>F7+-F12</f>
        <v/>
      </c>
      <c r="G26" s="131">
        <f>G7+-G12</f>
        <v/>
      </c>
      <c r="H26" s="131">
        <f>H7+-H12</f>
        <v/>
      </c>
      <c r="I26" s="131">
        <f>I7+-I12</f>
        <v/>
      </c>
      <c r="J26" s="131">
        <f>J7+-J12</f>
        <v/>
      </c>
      <c r="K26" s="131">
        <f>K7+-K12</f>
        <v/>
      </c>
      <c r="L26" s="131">
        <f>L7+-L12</f>
        <v/>
      </c>
      <c r="M26" s="131">
        <f>M7+-M12</f>
        <v/>
      </c>
      <c r="N26" s="131">
        <f>N7+-N12</f>
        <v/>
      </c>
      <c r="O26" s="150">
        <f>AVERAGE(E26:N26)</f>
        <v/>
      </c>
      <c r="P26" s="11" t="n"/>
    </row>
    <row r="27">
      <c r="B27" s="7" t="inlineStr">
        <is>
          <t>Ⅳ. 판매비와관리비</t>
        </is>
      </c>
      <c r="C27" s="80" t="n"/>
      <c r="D27" s="131">
        <f>D28++D29++D30++D31++D32++D33</f>
        <v/>
      </c>
      <c r="E27" s="131">
        <f>E28++E29++E30++E31++E32++E33</f>
        <v/>
      </c>
      <c r="F27" s="131">
        <f>F28++F29++F30++F31++F32++F33</f>
        <v/>
      </c>
      <c r="G27" s="131">
        <f>G28++G29++G30++G31++G32++G33</f>
        <v/>
      </c>
      <c r="H27" s="131">
        <f>H28++H29++H30++H31++H32++H33</f>
        <v/>
      </c>
      <c r="I27" s="131">
        <f>I28++I29++I30++I31++I32++I33</f>
        <v/>
      </c>
      <c r="J27" s="131">
        <f>J28++J29++J30++J31++J32++J33</f>
        <v/>
      </c>
      <c r="K27" s="131">
        <f>K28++K29++K30++K31++K32++K33</f>
        <v/>
      </c>
      <c r="L27" s="131">
        <f>L28++L29++L30++L31++L32++L33</f>
        <v/>
      </c>
      <c r="M27" s="131">
        <f>M28++M29++M30++M31++M32++M33</f>
        <v/>
      </c>
      <c r="N27" s="131">
        <f>N28++N29++N30++N31++N32++N33</f>
        <v/>
      </c>
      <c r="O27" s="150">
        <f>AVERAGE(E27:N27)</f>
        <v/>
      </c>
      <c r="P27" s="11" t="n"/>
    </row>
    <row r="28">
      <c r="B28" s="38" t="inlineStr">
        <is>
          <t>직원급여 (육상직원)</t>
        </is>
      </c>
      <c r="C28" s="60">
        <f>설정값!$D$84</f>
        <v/>
      </c>
      <c r="D28" s="134">
        <f>대조선박_손익!$C$67/1000000</f>
        <v/>
      </c>
      <c r="E28" s="134">
        <f>$D28*(1+$C28)^E$5</f>
        <v/>
      </c>
      <c r="F28" s="134">
        <f>$D28*(1+$C28)^F$5</f>
        <v/>
      </c>
      <c r="G28" s="134">
        <f>$D28*(1+$C28)^G$5</f>
        <v/>
      </c>
      <c r="H28" s="134">
        <f>$D28*(1+$C28)^H$5</f>
        <v/>
      </c>
      <c r="I28" s="134">
        <f>$D28*(1+$C28)^I$5</f>
        <v/>
      </c>
      <c r="J28" s="134">
        <f>$D28*(1+$C28)^J$5</f>
        <v/>
      </c>
      <c r="K28" s="134">
        <f>$D28*(1+$C28)^K$5</f>
        <v/>
      </c>
      <c r="L28" s="134">
        <f>$D28*(1+$C28)^L$5</f>
        <v/>
      </c>
      <c r="M28" s="134">
        <f>$D28*(1+$C28)^M$5</f>
        <v/>
      </c>
      <c r="N28" s="134">
        <f>$D28*(1+$C28)^N$5</f>
        <v/>
      </c>
      <c r="O28" s="151">
        <f>AVERAGE(E28:N28)</f>
        <v/>
      </c>
      <c r="P28" s="11" t="n"/>
    </row>
    <row r="29">
      <c r="B29" s="38" t="inlineStr">
        <is>
          <t>퇴직급여 (육상직원)</t>
        </is>
      </c>
      <c r="C29" s="60">
        <f>설정값!$D$84</f>
        <v/>
      </c>
      <c r="D29" s="134">
        <f>대조선박_손익!$C$68/1000000</f>
        <v/>
      </c>
      <c r="E29" s="134">
        <f>$D29*(1+$C29)^E$5</f>
        <v/>
      </c>
      <c r="F29" s="134">
        <f>$D29*(1+$C29)^F$5</f>
        <v/>
      </c>
      <c r="G29" s="134">
        <f>$D29*(1+$C29)^G$5</f>
        <v/>
      </c>
      <c r="H29" s="134">
        <f>$D29*(1+$C29)^H$5</f>
        <v/>
      </c>
      <c r="I29" s="134">
        <f>$D29*(1+$C29)^I$5</f>
        <v/>
      </c>
      <c r="J29" s="134">
        <f>$D29*(1+$C29)^J$5</f>
        <v/>
      </c>
      <c r="K29" s="134">
        <f>$D29*(1+$C29)^K$5</f>
        <v/>
      </c>
      <c r="L29" s="134">
        <f>$D29*(1+$C29)^L$5</f>
        <v/>
      </c>
      <c r="M29" s="134">
        <f>$D29*(1+$C29)^M$5</f>
        <v/>
      </c>
      <c r="N29" s="134">
        <f>$D29*(1+$C29)^N$5</f>
        <v/>
      </c>
      <c r="O29" s="151">
        <f>AVERAGE(E29:N29)</f>
        <v/>
      </c>
      <c r="P29" s="11" t="n"/>
    </row>
    <row r="30">
      <c r="B30" s="38" t="inlineStr">
        <is>
          <t>복리후생비 (육상직원)</t>
        </is>
      </c>
      <c r="C30" s="60">
        <f>설정값!$D$84</f>
        <v/>
      </c>
      <c r="D30" s="134">
        <f>대조선박_손익!$C$69/1000000</f>
        <v/>
      </c>
      <c r="E30" s="134">
        <f>$D30*(1+$C30)^E$5</f>
        <v/>
      </c>
      <c r="F30" s="134">
        <f>$D30*(1+$C30)^F$5</f>
        <v/>
      </c>
      <c r="G30" s="134">
        <f>$D30*(1+$C30)^G$5</f>
        <v/>
      </c>
      <c r="H30" s="134">
        <f>$D30*(1+$C30)^H$5</f>
        <v/>
      </c>
      <c r="I30" s="134">
        <f>$D30*(1+$C30)^I$5</f>
        <v/>
      </c>
      <c r="J30" s="134">
        <f>$D30*(1+$C30)^J$5</f>
        <v/>
      </c>
      <c r="K30" s="134">
        <f>$D30*(1+$C30)^K$5</f>
        <v/>
      </c>
      <c r="L30" s="134">
        <f>$D30*(1+$C30)^L$5</f>
        <v/>
      </c>
      <c r="M30" s="134">
        <f>$D30*(1+$C30)^M$5</f>
        <v/>
      </c>
      <c r="N30" s="134">
        <f>$D30*(1+$C30)^N$5</f>
        <v/>
      </c>
      <c r="O30" s="151">
        <f>AVERAGE(E30:N30)</f>
        <v/>
      </c>
      <c r="P30" s="11" t="n"/>
    </row>
    <row r="31">
      <c r="B31" s="38" t="inlineStr">
        <is>
          <t>세금과공과</t>
        </is>
      </c>
      <c r="C31" s="60">
        <f>설정값!$D$85</f>
        <v/>
      </c>
      <c r="D31" s="134">
        <f>대조선박_손익!$C$70/1000000</f>
        <v/>
      </c>
      <c r="E31" s="134">
        <f>$D31*(1+$C31)^E$5</f>
        <v/>
      </c>
      <c r="F31" s="134">
        <f>$D31*(1+$C31)^F$5</f>
        <v/>
      </c>
      <c r="G31" s="134">
        <f>$D31*(1+$C31)^G$5</f>
        <v/>
      </c>
      <c r="H31" s="134">
        <f>$D31*(1+$C31)^H$5</f>
        <v/>
      </c>
      <c r="I31" s="134">
        <f>$D31*(1+$C31)^I$5</f>
        <v/>
      </c>
      <c r="J31" s="134">
        <f>$D31*(1+$C31)^J$5</f>
        <v/>
      </c>
      <c r="K31" s="134">
        <f>$D31*(1+$C31)^K$5</f>
        <v/>
      </c>
      <c r="L31" s="134">
        <f>$D31*(1+$C31)^L$5</f>
        <v/>
      </c>
      <c r="M31" s="134">
        <f>$D31*(1+$C31)^M$5</f>
        <v/>
      </c>
      <c r="N31" s="134">
        <f>$D31*(1+$C31)^N$5</f>
        <v/>
      </c>
      <c r="O31" s="151">
        <f>AVERAGE(E31:N31)</f>
        <v/>
      </c>
      <c r="P31" s="11" t="n"/>
    </row>
    <row r="32">
      <c r="B32" s="38" t="inlineStr">
        <is>
          <t>지급수수료</t>
        </is>
      </c>
      <c r="C32" s="60">
        <f>설정값!$D$86</f>
        <v/>
      </c>
      <c r="D32" s="134">
        <f>대조선박_손익!$C$71/1000000</f>
        <v/>
      </c>
      <c r="E32" s="134">
        <f>$D32*(1+$C32)^E$5</f>
        <v/>
      </c>
      <c r="F32" s="134">
        <f>$D32*(1+$C32)^F$5</f>
        <v/>
      </c>
      <c r="G32" s="134">
        <f>$D32*(1+$C32)^G$5</f>
        <v/>
      </c>
      <c r="H32" s="134">
        <f>$D32*(1+$C32)^H$5</f>
        <v/>
      </c>
      <c r="I32" s="134">
        <f>$D32*(1+$C32)^I$5</f>
        <v/>
      </c>
      <c r="J32" s="134">
        <f>$D32*(1+$C32)^J$5</f>
        <v/>
      </c>
      <c r="K32" s="134">
        <f>$D32*(1+$C32)^K$5</f>
        <v/>
      </c>
      <c r="L32" s="134">
        <f>$D32*(1+$C32)^L$5</f>
        <v/>
      </c>
      <c r="M32" s="134">
        <f>$D32*(1+$C32)^M$5</f>
        <v/>
      </c>
      <c r="N32" s="134">
        <f>$D32*(1+$C32)^N$5</f>
        <v/>
      </c>
      <c r="O32" s="151">
        <f>AVERAGE(E32:N32)</f>
        <v/>
      </c>
      <c r="P32" s="11" t="n"/>
    </row>
    <row r="33">
      <c r="B33" s="38" t="inlineStr">
        <is>
          <t>그 외 (세금과공과·지급수수료 제외)</t>
        </is>
      </c>
      <c r="C33" s="60" t="n"/>
      <c r="D33" s="134">
        <f>D34++D35++D36++D37++D38++D39++D40++D41++D42++D43++D44++D45++D46++D47</f>
        <v/>
      </c>
      <c r="E33" s="134">
        <f>E34++E35++E36++E37++E38++E39++E40++E41++E42++E43++E44++E45++E46++E47</f>
        <v/>
      </c>
      <c r="F33" s="134">
        <f>F34++F35++F36++F37++F38++F39++F40++F41++F42++F43++F44++F45++F46++F47</f>
        <v/>
      </c>
      <c r="G33" s="134">
        <f>G34++G35++G36++G37++G38++G39++G40++G41++G42++G43++G44++G45++G46++G47</f>
        <v/>
      </c>
      <c r="H33" s="134">
        <f>H34++H35++H36++H37++H38++H39++H40++H41++H42++H43++H44++H45++H46++H47</f>
        <v/>
      </c>
      <c r="I33" s="134">
        <f>I34++I35++I36++I37++I38++I39++I40++I41++I42++I43++I44++I45++I46++I47</f>
        <v/>
      </c>
      <c r="J33" s="134">
        <f>J34++J35++J36++J37++J38++J39++J40++J41++J42++J43++J44++J45++J46++J47</f>
        <v/>
      </c>
      <c r="K33" s="134">
        <f>K34++K35++K36++K37++K38++K39++K40++K41++K42++K43++K44++K45++K46++K47</f>
        <v/>
      </c>
      <c r="L33" s="134">
        <f>L34++L35++L36++L37++L38++L39++L40++L41++L42++L43++L44++L45++L46++L47</f>
        <v/>
      </c>
      <c r="M33" s="134">
        <f>M34++M35++M36++M37++M38++M39++M40++M41++M42++M43++M44++M45++M46++M47</f>
        <v/>
      </c>
      <c r="N33" s="134">
        <f>N34++N35++N36++N37++N38++N39++N40++N41++N42++N43++N44++N45++N46++N47</f>
        <v/>
      </c>
      <c r="O33" s="151">
        <f>AVERAGE(E33:N33)</f>
        <v/>
      </c>
      <c r="P33" s="11" t="n"/>
    </row>
    <row r="34">
      <c r="B34" s="68" t="inlineStr">
        <is>
          <t>· 여비교통비</t>
        </is>
      </c>
      <c r="C34" s="60">
        <f>설정값!$D$87</f>
        <v/>
      </c>
      <c r="D34" s="134">
        <f>대조선박_손익!$C$73/1000000</f>
        <v/>
      </c>
      <c r="E34" s="134">
        <f>$D34*(1+$C34)^E$5</f>
        <v/>
      </c>
      <c r="F34" s="134">
        <f>$D34*(1+$C34)^F$5</f>
        <v/>
      </c>
      <c r="G34" s="134">
        <f>$D34*(1+$C34)^G$5</f>
        <v/>
      </c>
      <c r="H34" s="134">
        <f>$D34*(1+$C34)^H$5</f>
        <v/>
      </c>
      <c r="I34" s="134">
        <f>$D34*(1+$C34)^I$5</f>
        <v/>
      </c>
      <c r="J34" s="134">
        <f>$D34*(1+$C34)^J$5</f>
        <v/>
      </c>
      <c r="K34" s="134">
        <f>$D34*(1+$C34)^K$5</f>
        <v/>
      </c>
      <c r="L34" s="134">
        <f>$D34*(1+$C34)^L$5</f>
        <v/>
      </c>
      <c r="M34" s="134">
        <f>$D34*(1+$C34)^M$5</f>
        <v/>
      </c>
      <c r="N34" s="134">
        <f>$D34*(1+$C34)^N$5</f>
        <v/>
      </c>
      <c r="O34" s="151">
        <f>AVERAGE(E34:N34)</f>
        <v/>
      </c>
      <c r="P34" s="11" t="n"/>
    </row>
    <row r="35">
      <c r="B35" s="68" t="inlineStr">
        <is>
          <t>· 접대비</t>
        </is>
      </c>
      <c r="C35" s="60">
        <f>설정값!$D$87</f>
        <v/>
      </c>
      <c r="D35" s="134">
        <f>대조선박_손익!$C$74/1000000</f>
        <v/>
      </c>
      <c r="E35" s="134">
        <f>$D35*(1+$C35)^E$5</f>
        <v/>
      </c>
      <c r="F35" s="134">
        <f>$D35*(1+$C35)^F$5</f>
        <v/>
      </c>
      <c r="G35" s="134">
        <f>$D35*(1+$C35)^G$5</f>
        <v/>
      </c>
      <c r="H35" s="134">
        <f>$D35*(1+$C35)^H$5</f>
        <v/>
      </c>
      <c r="I35" s="134">
        <f>$D35*(1+$C35)^I$5</f>
        <v/>
      </c>
      <c r="J35" s="134">
        <f>$D35*(1+$C35)^J$5</f>
        <v/>
      </c>
      <c r="K35" s="134">
        <f>$D35*(1+$C35)^K$5</f>
        <v/>
      </c>
      <c r="L35" s="134">
        <f>$D35*(1+$C35)^L$5</f>
        <v/>
      </c>
      <c r="M35" s="134">
        <f>$D35*(1+$C35)^M$5</f>
        <v/>
      </c>
      <c r="N35" s="134">
        <f>$D35*(1+$C35)^N$5</f>
        <v/>
      </c>
      <c r="O35" s="151">
        <f>AVERAGE(E35:N35)</f>
        <v/>
      </c>
      <c r="P35" s="11" t="n"/>
    </row>
    <row r="36">
      <c r="B36" s="68" t="inlineStr">
        <is>
          <t>· 통신비</t>
        </is>
      </c>
      <c r="C36" s="60">
        <f>설정값!$D$87</f>
        <v/>
      </c>
      <c r="D36" s="134">
        <f>대조선박_손익!$C$75/1000000</f>
        <v/>
      </c>
      <c r="E36" s="134">
        <f>$D36*(1+$C36)^E$5</f>
        <v/>
      </c>
      <c r="F36" s="134">
        <f>$D36*(1+$C36)^F$5</f>
        <v/>
      </c>
      <c r="G36" s="134">
        <f>$D36*(1+$C36)^G$5</f>
        <v/>
      </c>
      <c r="H36" s="134">
        <f>$D36*(1+$C36)^H$5</f>
        <v/>
      </c>
      <c r="I36" s="134">
        <f>$D36*(1+$C36)^I$5</f>
        <v/>
      </c>
      <c r="J36" s="134">
        <f>$D36*(1+$C36)^J$5</f>
        <v/>
      </c>
      <c r="K36" s="134">
        <f>$D36*(1+$C36)^K$5</f>
        <v/>
      </c>
      <c r="L36" s="134">
        <f>$D36*(1+$C36)^L$5</f>
        <v/>
      </c>
      <c r="M36" s="134">
        <f>$D36*(1+$C36)^M$5</f>
        <v/>
      </c>
      <c r="N36" s="134">
        <f>$D36*(1+$C36)^N$5</f>
        <v/>
      </c>
      <c r="O36" s="151">
        <f>AVERAGE(E36:N36)</f>
        <v/>
      </c>
      <c r="P36" s="11" t="n"/>
    </row>
    <row r="37">
      <c r="B37" s="68" t="inlineStr">
        <is>
          <t>· 수도광열비</t>
        </is>
      </c>
      <c r="C37" s="60">
        <f>설정값!$D$87</f>
        <v/>
      </c>
      <c r="D37" s="134">
        <f>대조선박_손익!$C$76/1000000</f>
        <v/>
      </c>
      <c r="E37" s="134">
        <f>$D37*(1+$C37)^E$5</f>
        <v/>
      </c>
      <c r="F37" s="134">
        <f>$D37*(1+$C37)^F$5</f>
        <v/>
      </c>
      <c r="G37" s="134">
        <f>$D37*(1+$C37)^G$5</f>
        <v/>
      </c>
      <c r="H37" s="134">
        <f>$D37*(1+$C37)^H$5</f>
        <v/>
      </c>
      <c r="I37" s="134">
        <f>$D37*(1+$C37)^I$5</f>
        <v/>
      </c>
      <c r="J37" s="134">
        <f>$D37*(1+$C37)^J$5</f>
        <v/>
      </c>
      <c r="K37" s="134">
        <f>$D37*(1+$C37)^K$5</f>
        <v/>
      </c>
      <c r="L37" s="134">
        <f>$D37*(1+$C37)^L$5</f>
        <v/>
      </c>
      <c r="M37" s="134">
        <f>$D37*(1+$C37)^M$5</f>
        <v/>
      </c>
      <c r="N37" s="134">
        <f>$D37*(1+$C37)^N$5</f>
        <v/>
      </c>
      <c r="O37" s="151">
        <f>AVERAGE(E37:N37)</f>
        <v/>
      </c>
      <c r="P37" s="11" t="n"/>
    </row>
    <row r="38">
      <c r="B38" s="68" t="inlineStr">
        <is>
          <t>· 지급임차료</t>
        </is>
      </c>
      <c r="C38" s="60">
        <f>설정값!$D$87</f>
        <v/>
      </c>
      <c r="D38" s="134">
        <f>대조선박_손익!$C$77/1000000</f>
        <v/>
      </c>
      <c r="E38" s="134">
        <f>$D38*(1+$C38)^E$5</f>
        <v/>
      </c>
      <c r="F38" s="134">
        <f>$D38*(1+$C38)^F$5</f>
        <v/>
      </c>
      <c r="G38" s="134">
        <f>$D38*(1+$C38)^G$5</f>
        <v/>
      </c>
      <c r="H38" s="134">
        <f>$D38*(1+$C38)^H$5</f>
        <v/>
      </c>
      <c r="I38" s="134">
        <f>$D38*(1+$C38)^I$5</f>
        <v/>
      </c>
      <c r="J38" s="134">
        <f>$D38*(1+$C38)^J$5</f>
        <v/>
      </c>
      <c r="K38" s="134">
        <f>$D38*(1+$C38)^K$5</f>
        <v/>
      </c>
      <c r="L38" s="134">
        <f>$D38*(1+$C38)^L$5</f>
        <v/>
      </c>
      <c r="M38" s="134">
        <f>$D38*(1+$C38)^M$5</f>
        <v/>
      </c>
      <c r="N38" s="134">
        <f>$D38*(1+$C38)^N$5</f>
        <v/>
      </c>
      <c r="O38" s="151">
        <f>AVERAGE(E38:N38)</f>
        <v/>
      </c>
      <c r="P38" s="11" t="n"/>
    </row>
    <row r="39">
      <c r="B39" s="68" t="inlineStr">
        <is>
          <t>· 수선비</t>
        </is>
      </c>
      <c r="C39" s="60">
        <f>설정값!$D$87</f>
        <v/>
      </c>
      <c r="D39" s="134">
        <f>대조선박_손익!$C$78/1000000</f>
        <v/>
      </c>
      <c r="E39" s="134">
        <f>$D39*(1+$C39)^E$5</f>
        <v/>
      </c>
      <c r="F39" s="134">
        <f>$D39*(1+$C39)^F$5</f>
        <v/>
      </c>
      <c r="G39" s="134">
        <f>$D39*(1+$C39)^G$5</f>
        <v/>
      </c>
      <c r="H39" s="134">
        <f>$D39*(1+$C39)^H$5</f>
        <v/>
      </c>
      <c r="I39" s="134">
        <f>$D39*(1+$C39)^I$5</f>
        <v/>
      </c>
      <c r="J39" s="134">
        <f>$D39*(1+$C39)^J$5</f>
        <v/>
      </c>
      <c r="K39" s="134">
        <f>$D39*(1+$C39)^K$5</f>
        <v/>
      </c>
      <c r="L39" s="134">
        <f>$D39*(1+$C39)^L$5</f>
        <v/>
      </c>
      <c r="M39" s="134">
        <f>$D39*(1+$C39)^M$5</f>
        <v/>
      </c>
      <c r="N39" s="134">
        <f>$D39*(1+$C39)^N$5</f>
        <v/>
      </c>
      <c r="O39" s="151">
        <f>AVERAGE(E39:N39)</f>
        <v/>
      </c>
      <c r="P39" s="11" t="n"/>
    </row>
    <row r="40">
      <c r="B40" s="68" t="inlineStr">
        <is>
          <t>· 보험료</t>
        </is>
      </c>
      <c r="C40" s="60">
        <f>설정값!$D$87</f>
        <v/>
      </c>
      <c r="D40" s="134">
        <f>대조선박_손익!$C$79/1000000</f>
        <v/>
      </c>
      <c r="E40" s="134">
        <f>$D40*(1+$C40)^E$5</f>
        <v/>
      </c>
      <c r="F40" s="134">
        <f>$D40*(1+$C40)^F$5</f>
        <v/>
      </c>
      <c r="G40" s="134">
        <f>$D40*(1+$C40)^G$5</f>
        <v/>
      </c>
      <c r="H40" s="134">
        <f>$D40*(1+$C40)^H$5</f>
        <v/>
      </c>
      <c r="I40" s="134">
        <f>$D40*(1+$C40)^I$5</f>
        <v/>
      </c>
      <c r="J40" s="134">
        <f>$D40*(1+$C40)^J$5</f>
        <v/>
      </c>
      <c r="K40" s="134">
        <f>$D40*(1+$C40)^K$5</f>
        <v/>
      </c>
      <c r="L40" s="134">
        <f>$D40*(1+$C40)^L$5</f>
        <v/>
      </c>
      <c r="M40" s="134">
        <f>$D40*(1+$C40)^M$5</f>
        <v/>
      </c>
      <c r="N40" s="134">
        <f>$D40*(1+$C40)^N$5</f>
        <v/>
      </c>
      <c r="O40" s="151">
        <f>AVERAGE(E40:N40)</f>
        <v/>
      </c>
      <c r="P40" s="11" t="n"/>
    </row>
    <row r="41">
      <c r="B41" s="68" t="inlineStr">
        <is>
          <t>· 차량유지비</t>
        </is>
      </c>
      <c r="C41" s="60">
        <f>설정값!$D$87</f>
        <v/>
      </c>
      <c r="D41" s="134">
        <f>대조선박_손익!$C$80/1000000</f>
        <v/>
      </c>
      <c r="E41" s="134">
        <f>$D41*(1+$C41)^E$5</f>
        <v/>
      </c>
      <c r="F41" s="134">
        <f>$D41*(1+$C41)^F$5</f>
        <v/>
      </c>
      <c r="G41" s="134">
        <f>$D41*(1+$C41)^G$5</f>
        <v/>
      </c>
      <c r="H41" s="134">
        <f>$D41*(1+$C41)^H$5</f>
        <v/>
      </c>
      <c r="I41" s="134">
        <f>$D41*(1+$C41)^I$5</f>
        <v/>
      </c>
      <c r="J41" s="134">
        <f>$D41*(1+$C41)^J$5</f>
        <v/>
      </c>
      <c r="K41" s="134">
        <f>$D41*(1+$C41)^K$5</f>
        <v/>
      </c>
      <c r="L41" s="134">
        <f>$D41*(1+$C41)^L$5</f>
        <v/>
      </c>
      <c r="M41" s="134">
        <f>$D41*(1+$C41)^M$5</f>
        <v/>
      </c>
      <c r="N41" s="134">
        <f>$D41*(1+$C41)^N$5</f>
        <v/>
      </c>
      <c r="O41" s="151">
        <f>AVERAGE(E41:N41)</f>
        <v/>
      </c>
      <c r="P41" s="11" t="n"/>
    </row>
    <row r="42">
      <c r="B42" s="68" t="inlineStr">
        <is>
          <t>· 운반비</t>
        </is>
      </c>
      <c r="C42" s="60">
        <f>설정값!$D$87</f>
        <v/>
      </c>
      <c r="D42" s="134">
        <f>대조선박_손익!$C$81/1000000</f>
        <v/>
      </c>
      <c r="E42" s="134">
        <f>$D42*(1+$C42)^E$5</f>
        <v/>
      </c>
      <c r="F42" s="134">
        <f>$D42*(1+$C42)^F$5</f>
        <v/>
      </c>
      <c r="G42" s="134">
        <f>$D42*(1+$C42)^G$5</f>
        <v/>
      </c>
      <c r="H42" s="134">
        <f>$D42*(1+$C42)^H$5</f>
        <v/>
      </c>
      <c r="I42" s="134">
        <f>$D42*(1+$C42)^I$5</f>
        <v/>
      </c>
      <c r="J42" s="134">
        <f>$D42*(1+$C42)^J$5</f>
        <v/>
      </c>
      <c r="K42" s="134">
        <f>$D42*(1+$C42)^K$5</f>
        <v/>
      </c>
      <c r="L42" s="134">
        <f>$D42*(1+$C42)^L$5</f>
        <v/>
      </c>
      <c r="M42" s="134">
        <f>$D42*(1+$C42)^M$5</f>
        <v/>
      </c>
      <c r="N42" s="134">
        <f>$D42*(1+$C42)^N$5</f>
        <v/>
      </c>
      <c r="O42" s="151">
        <f>AVERAGE(E42:N42)</f>
        <v/>
      </c>
      <c r="P42" s="11" t="n"/>
    </row>
    <row r="43">
      <c r="B43" s="68" t="inlineStr">
        <is>
          <t>· 교육훈련비</t>
        </is>
      </c>
      <c r="C43" s="60">
        <f>설정값!$D$87</f>
        <v/>
      </c>
      <c r="D43" s="134">
        <f>대조선박_손익!$C$82/1000000</f>
        <v/>
      </c>
      <c r="E43" s="134">
        <f>$D43*(1+$C43)^E$5</f>
        <v/>
      </c>
      <c r="F43" s="134">
        <f>$D43*(1+$C43)^F$5</f>
        <v/>
      </c>
      <c r="G43" s="134">
        <f>$D43*(1+$C43)^G$5</f>
        <v/>
      </c>
      <c r="H43" s="134">
        <f>$D43*(1+$C43)^H$5</f>
        <v/>
      </c>
      <c r="I43" s="134">
        <f>$D43*(1+$C43)^I$5</f>
        <v/>
      </c>
      <c r="J43" s="134">
        <f>$D43*(1+$C43)^J$5</f>
        <v/>
      </c>
      <c r="K43" s="134">
        <f>$D43*(1+$C43)^K$5</f>
        <v/>
      </c>
      <c r="L43" s="134">
        <f>$D43*(1+$C43)^L$5</f>
        <v/>
      </c>
      <c r="M43" s="134">
        <f>$D43*(1+$C43)^M$5</f>
        <v/>
      </c>
      <c r="N43" s="134">
        <f>$D43*(1+$C43)^N$5</f>
        <v/>
      </c>
      <c r="O43" s="151">
        <f>AVERAGE(E43:N43)</f>
        <v/>
      </c>
      <c r="P43" s="11" t="n"/>
    </row>
    <row r="44">
      <c r="B44" s="68" t="inlineStr">
        <is>
          <t>· 도서인쇄비</t>
        </is>
      </c>
      <c r="C44" s="60">
        <f>설정값!$D$87</f>
        <v/>
      </c>
      <c r="D44" s="134">
        <f>대조선박_손익!$C$83/1000000</f>
        <v/>
      </c>
      <c r="E44" s="134">
        <f>$D44*(1+$C44)^E$5</f>
        <v/>
      </c>
      <c r="F44" s="134">
        <f>$D44*(1+$C44)^F$5</f>
        <v/>
      </c>
      <c r="G44" s="134">
        <f>$D44*(1+$C44)^G$5</f>
        <v/>
      </c>
      <c r="H44" s="134">
        <f>$D44*(1+$C44)^H$5</f>
        <v/>
      </c>
      <c r="I44" s="134">
        <f>$D44*(1+$C44)^I$5</f>
        <v/>
      </c>
      <c r="J44" s="134">
        <f>$D44*(1+$C44)^J$5</f>
        <v/>
      </c>
      <c r="K44" s="134">
        <f>$D44*(1+$C44)^K$5</f>
        <v/>
      </c>
      <c r="L44" s="134">
        <f>$D44*(1+$C44)^L$5</f>
        <v/>
      </c>
      <c r="M44" s="134">
        <f>$D44*(1+$C44)^M$5</f>
        <v/>
      </c>
      <c r="N44" s="134">
        <f>$D44*(1+$C44)^N$5</f>
        <v/>
      </c>
      <c r="O44" s="151">
        <f>AVERAGE(E44:N44)</f>
        <v/>
      </c>
      <c r="P44" s="11" t="n"/>
    </row>
    <row r="45">
      <c r="B45" s="68" t="inlineStr">
        <is>
          <t>· 소모품비</t>
        </is>
      </c>
      <c r="C45" s="60">
        <f>설정값!$D$87</f>
        <v/>
      </c>
      <c r="D45" s="134">
        <f>대조선박_손익!$C$84/1000000</f>
        <v/>
      </c>
      <c r="E45" s="134">
        <f>$D45*(1+$C45)^E$5</f>
        <v/>
      </c>
      <c r="F45" s="134">
        <f>$D45*(1+$C45)^F$5</f>
        <v/>
      </c>
      <c r="G45" s="134">
        <f>$D45*(1+$C45)^G$5</f>
        <v/>
      </c>
      <c r="H45" s="134">
        <f>$D45*(1+$C45)^H$5</f>
        <v/>
      </c>
      <c r="I45" s="134">
        <f>$D45*(1+$C45)^I$5</f>
        <v/>
      </c>
      <c r="J45" s="134">
        <f>$D45*(1+$C45)^J$5</f>
        <v/>
      </c>
      <c r="K45" s="134">
        <f>$D45*(1+$C45)^K$5</f>
        <v/>
      </c>
      <c r="L45" s="134">
        <f>$D45*(1+$C45)^L$5</f>
        <v/>
      </c>
      <c r="M45" s="134">
        <f>$D45*(1+$C45)^M$5</f>
        <v/>
      </c>
      <c r="N45" s="134">
        <f>$D45*(1+$C45)^N$5</f>
        <v/>
      </c>
      <c r="O45" s="151">
        <f>AVERAGE(E45:N45)</f>
        <v/>
      </c>
      <c r="P45" s="11" t="n"/>
    </row>
    <row r="46">
      <c r="B46" s="68" t="inlineStr">
        <is>
          <t>· 광고선전비</t>
        </is>
      </c>
      <c r="C46" s="60">
        <f>설정값!$D$87</f>
        <v/>
      </c>
      <c r="D46" s="134">
        <f>대조선박_손익!$C$85/1000000</f>
        <v/>
      </c>
      <c r="E46" s="134">
        <f>$D46*(1+$C46)^E$5</f>
        <v/>
      </c>
      <c r="F46" s="134">
        <f>$D46*(1+$C46)^F$5</f>
        <v/>
      </c>
      <c r="G46" s="134">
        <f>$D46*(1+$C46)^G$5</f>
        <v/>
      </c>
      <c r="H46" s="134">
        <f>$D46*(1+$C46)^H$5</f>
        <v/>
      </c>
      <c r="I46" s="134">
        <f>$D46*(1+$C46)^I$5</f>
        <v/>
      </c>
      <c r="J46" s="134">
        <f>$D46*(1+$C46)^J$5</f>
        <v/>
      </c>
      <c r="K46" s="134">
        <f>$D46*(1+$C46)^K$5</f>
        <v/>
      </c>
      <c r="L46" s="134">
        <f>$D46*(1+$C46)^L$5</f>
        <v/>
      </c>
      <c r="M46" s="134">
        <f>$D46*(1+$C46)^M$5</f>
        <v/>
      </c>
      <c r="N46" s="134">
        <f>$D46*(1+$C46)^N$5</f>
        <v/>
      </c>
      <c r="O46" s="151">
        <f>AVERAGE(E46:N46)</f>
        <v/>
      </c>
      <c r="P46" s="11" t="n"/>
    </row>
    <row r="47">
      <c r="B47" s="68" t="inlineStr">
        <is>
          <t>· 잡비</t>
        </is>
      </c>
      <c r="C47" s="60">
        <f>설정값!$D$87</f>
        <v/>
      </c>
      <c r="D47" s="134">
        <f>대조선박_손익!$C$86/1000000</f>
        <v/>
      </c>
      <c r="E47" s="134">
        <f>$D47*(1+$C47)^E$5</f>
        <v/>
      </c>
      <c r="F47" s="134">
        <f>$D47*(1+$C47)^F$5</f>
        <v/>
      </c>
      <c r="G47" s="134">
        <f>$D47*(1+$C47)^G$5</f>
        <v/>
      </c>
      <c r="H47" s="134">
        <f>$D47*(1+$C47)^H$5</f>
        <v/>
      </c>
      <c r="I47" s="134">
        <f>$D47*(1+$C47)^I$5</f>
        <v/>
      </c>
      <c r="J47" s="134">
        <f>$D47*(1+$C47)^J$5</f>
        <v/>
      </c>
      <c r="K47" s="134">
        <f>$D47*(1+$C47)^K$5</f>
        <v/>
      </c>
      <c r="L47" s="134">
        <f>$D47*(1+$C47)^L$5</f>
        <v/>
      </c>
      <c r="M47" s="134">
        <f>$D47*(1+$C47)^M$5</f>
        <v/>
      </c>
      <c r="N47" s="134">
        <f>$D47*(1+$C47)^N$5</f>
        <v/>
      </c>
      <c r="O47" s="151">
        <f>AVERAGE(E47:N47)</f>
        <v/>
      </c>
      <c r="P47" s="11" t="n"/>
    </row>
    <row r="48">
      <c r="B48" s="69" t="inlineStr">
        <is>
          <t>Ⅴ. 영업이익(손실)</t>
        </is>
      </c>
      <c r="C48" s="81" t="n"/>
      <c r="D48" s="136">
        <f>D26+-D27</f>
        <v/>
      </c>
      <c r="E48" s="136">
        <f>E26+-E27</f>
        <v/>
      </c>
      <c r="F48" s="136">
        <f>F26+-F27</f>
        <v/>
      </c>
      <c r="G48" s="136">
        <f>G26+-G27</f>
        <v/>
      </c>
      <c r="H48" s="136">
        <f>H26+-H27</f>
        <v/>
      </c>
      <c r="I48" s="136">
        <f>I26+-I27</f>
        <v/>
      </c>
      <c r="J48" s="136">
        <f>J26+-J27</f>
        <v/>
      </c>
      <c r="K48" s="136">
        <f>K26+-K27</f>
        <v/>
      </c>
      <c r="L48" s="136">
        <f>L26+-L27</f>
        <v/>
      </c>
      <c r="M48" s="136">
        <f>M26+-M27</f>
        <v/>
      </c>
      <c r="N48" s="136">
        <f>N26+-N27</f>
        <v/>
      </c>
      <c r="O48" s="152">
        <f>AVERAGE(E48:N48)</f>
        <v/>
      </c>
      <c r="P48" s="11" t="inlineStr">
        <is>
          <t>선체이자를 운항원가에 넣은 기준 — 단일연도 표보다 이자만큼 낮다</t>
        </is>
      </c>
    </row>
    <row r="49">
      <c r="B49" s="50" t="inlineStr">
        <is>
          <t>영업이익률</t>
        </is>
      </c>
      <c r="C49" s="101" t="n"/>
      <c r="D49" s="147">
        <f>IFERROR(D48/D7,0)</f>
        <v/>
      </c>
      <c r="E49" s="147">
        <f>IFERROR(E48/E7,0)</f>
        <v/>
      </c>
      <c r="F49" s="147">
        <f>IFERROR(F48/F7,0)</f>
        <v/>
      </c>
      <c r="G49" s="147">
        <f>IFERROR(G48/G7,0)</f>
        <v/>
      </c>
      <c r="H49" s="147">
        <f>IFERROR(H48/H7,0)</f>
        <v/>
      </c>
      <c r="I49" s="147">
        <f>IFERROR(I48/I7,0)</f>
        <v/>
      </c>
      <c r="J49" s="147">
        <f>IFERROR(J48/J7,0)</f>
        <v/>
      </c>
      <c r="K49" s="147">
        <f>IFERROR(K48/K7,0)</f>
        <v/>
      </c>
      <c r="L49" s="147">
        <f>IFERROR(L48/L7,0)</f>
        <v/>
      </c>
      <c r="M49" s="147">
        <f>IFERROR(M48/M7,0)</f>
        <v/>
      </c>
      <c r="N49" s="147">
        <f>IFERROR(N48/N7,0)</f>
        <v/>
      </c>
      <c r="O49" s="153">
        <f>IFERROR(O48/O7,0)</f>
        <v/>
      </c>
      <c r="P49" s="9" t="inlineStr">
        <is>
          <t>[보완] 평균 열은 평균 영업이익 ÷ 평균 매출</t>
        </is>
      </c>
    </row>
    <row r="50">
      <c r="B50" s="9" t="inlineStr">
        <is>
          <t>EBITDA (영업이익 + 감가상각비)</t>
        </is>
      </c>
      <c r="C50" s="101" t="n"/>
      <c r="D50" s="134">
        <f>D48+D16</f>
        <v/>
      </c>
      <c r="E50" s="134">
        <f>E48+E16</f>
        <v/>
      </c>
      <c r="F50" s="134">
        <f>F48+F16</f>
        <v/>
      </c>
      <c r="G50" s="134">
        <f>G48+G16</f>
        <v/>
      </c>
      <c r="H50" s="134">
        <f>H48+H16</f>
        <v/>
      </c>
      <c r="I50" s="134">
        <f>I48+I16</f>
        <v/>
      </c>
      <c r="J50" s="134">
        <f>J48+J16</f>
        <v/>
      </c>
      <c r="K50" s="134">
        <f>K48+K16</f>
        <v/>
      </c>
      <c r="L50" s="134">
        <f>L48+L16</f>
        <v/>
      </c>
      <c r="M50" s="134">
        <f>M48+M16</f>
        <v/>
      </c>
      <c r="N50" s="134">
        <f>N48+N16</f>
        <v/>
      </c>
      <c r="O50" s="151">
        <f>O48+O16</f>
        <v/>
      </c>
      <c r="P50" s="9" t="inlineStr">
        <is>
          <t>[보완] 선체이자 차감 후 기준</t>
        </is>
      </c>
    </row>
    <row r="51">
      <c r="B51" s="11" t="inlineStr">
        <is>
          <t>영업이익 누계</t>
        </is>
      </c>
      <c r="C51" s="101" t="n"/>
      <c r="D51" s="134" t="n"/>
      <c r="E51" s="134">
        <f>SUM($E48:E48)</f>
        <v/>
      </c>
      <c r="F51" s="134">
        <f>SUM($E48:F48)</f>
        <v/>
      </c>
      <c r="G51" s="134">
        <f>SUM($E48:G48)</f>
        <v/>
      </c>
      <c r="H51" s="134">
        <f>SUM($E48:H48)</f>
        <v/>
      </c>
      <c r="I51" s="134">
        <f>SUM($E48:I48)</f>
        <v/>
      </c>
      <c r="J51" s="134">
        <f>SUM($E48:J48)</f>
        <v/>
      </c>
      <c r="K51" s="134">
        <f>SUM($E48:K48)</f>
        <v/>
      </c>
      <c r="L51" s="134">
        <f>SUM($E48:L48)</f>
        <v/>
      </c>
      <c r="M51" s="134">
        <f>SUM($E48:M48)</f>
        <v/>
      </c>
      <c r="N51" s="134">
        <f>SUM($E48:N48)</f>
        <v/>
      </c>
      <c r="O51" s="101" t="n"/>
      <c r="P51" s="9" t="inlineStr">
        <is>
          <t>[보완] y+1부터 누계</t>
        </is>
      </c>
    </row>
    <row r="53">
      <c r="B53" s="7" t="inlineStr">
        <is>
          <t>〔수지〕 현금 기준 — 회계상 비용이 아니라 통장에서 빠지는 것</t>
        </is>
      </c>
    </row>
    <row r="54">
      <c r="B54" s="50" t="inlineStr">
        <is>
          <t>(+) 감가상각비 되더하기</t>
        </is>
      </c>
      <c r="C54" s="101" t="inlineStr">
        <is>
          <t>undefined</t>
        </is>
      </c>
      <c r="D54" s="134">
        <f>D16</f>
        <v/>
      </c>
      <c r="E54" s="134">
        <f>E16</f>
        <v/>
      </c>
      <c r="F54" s="134">
        <f>F16</f>
        <v/>
      </c>
      <c r="G54" s="134">
        <f>G16</f>
        <v/>
      </c>
      <c r="H54" s="134">
        <f>H16</f>
        <v/>
      </c>
      <c r="I54" s="134">
        <f>I16</f>
        <v/>
      </c>
      <c r="J54" s="134">
        <f>J16</f>
        <v/>
      </c>
      <c r="K54" s="134">
        <f>K16</f>
        <v/>
      </c>
      <c r="L54" s="134">
        <f>L16</f>
        <v/>
      </c>
      <c r="M54" s="134">
        <f>M16</f>
        <v/>
      </c>
      <c r="N54" s="134">
        <f>N16</f>
        <v/>
      </c>
    </row>
    <row r="55">
      <c r="B55" s="50" t="inlineStr">
        <is>
          <t>(+) 선체이자 되더하기</t>
        </is>
      </c>
      <c r="C55" s="101" t="inlineStr">
        <is>
          <t>undefined</t>
        </is>
      </c>
      <c r="D55" s="134">
        <f>D25</f>
        <v/>
      </c>
      <c r="E55" s="134">
        <f>E25</f>
        <v/>
      </c>
      <c r="F55" s="134">
        <f>F25</f>
        <v/>
      </c>
      <c r="G55" s="134">
        <f>G25</f>
        <v/>
      </c>
      <c r="H55" s="134">
        <f>H25</f>
        <v/>
      </c>
      <c r="I55" s="134">
        <f>I25</f>
        <v/>
      </c>
      <c r="J55" s="134">
        <f>J25</f>
        <v/>
      </c>
      <c r="K55" s="134">
        <f>K25</f>
        <v/>
      </c>
      <c r="L55" s="134">
        <f>L25</f>
        <v/>
      </c>
      <c r="M55" s="134">
        <f>M25</f>
        <v/>
      </c>
      <c r="N55" s="134">
        <f>N25</f>
        <v/>
      </c>
    </row>
    <row r="56">
      <c r="B56" s="50" t="inlineStr">
        <is>
          <t>과세표준</t>
        </is>
      </c>
      <c r="C56" s="101" t="inlineStr">
        <is>
          <t>undefined</t>
        </is>
      </c>
      <c r="D56" s="134">
        <f>IF(설정값!$D$101="O",(MIN(설정값!$D$102,1000)*14+MAX(0,MIN(설정값!$D$102,10000)-1000)*11+MAX(0,MIN(설정값!$D$102,25000)-10000)*7+MAX(0,설정값!$D$102-25000)*4)*설정값!$D$103/1000000,MAX(0,D48-D25))</f>
        <v/>
      </c>
      <c r="E56" s="134">
        <f>IF(설정값!$D$101="O",(MIN(설정값!$D$102,1000)*14+MAX(0,MIN(설정값!$D$102,10000)-1000)*11+MAX(0,MIN(설정값!$D$102,25000)-10000)*7+MAX(0,설정값!$D$102-25000)*4)*설정값!$D$103/1000000,MAX(0,E48-E25))</f>
        <v/>
      </c>
      <c r="F56" s="134">
        <f>IF(설정값!$D$101="O",(MIN(설정값!$D$102,1000)*14+MAX(0,MIN(설정값!$D$102,10000)-1000)*11+MAX(0,MIN(설정값!$D$102,25000)-10000)*7+MAX(0,설정값!$D$102-25000)*4)*설정값!$D$103/1000000,MAX(0,F48-F25))</f>
        <v/>
      </c>
      <c r="G56" s="134">
        <f>IF(설정값!$D$101="O",(MIN(설정값!$D$102,1000)*14+MAX(0,MIN(설정값!$D$102,10000)-1000)*11+MAX(0,MIN(설정값!$D$102,25000)-10000)*7+MAX(0,설정값!$D$102-25000)*4)*설정값!$D$103/1000000,MAX(0,G48-G25))</f>
        <v/>
      </c>
      <c r="H56" s="134">
        <f>IF(설정값!$D$101="O",(MIN(설정값!$D$102,1000)*14+MAX(0,MIN(설정값!$D$102,10000)-1000)*11+MAX(0,MIN(설정값!$D$102,25000)-10000)*7+MAX(0,설정값!$D$102-25000)*4)*설정값!$D$103/1000000,MAX(0,H48-H25))</f>
        <v/>
      </c>
      <c r="I56" s="134">
        <f>IF(설정값!$D$101="O",(MIN(설정값!$D$102,1000)*14+MAX(0,MIN(설정값!$D$102,10000)-1000)*11+MAX(0,MIN(설정값!$D$102,25000)-10000)*7+MAX(0,설정값!$D$102-25000)*4)*설정값!$D$103/1000000,MAX(0,I48-I25))</f>
        <v/>
      </c>
      <c r="J56" s="134">
        <f>IF(설정값!$D$101="O",(MIN(설정값!$D$102,1000)*14+MAX(0,MIN(설정값!$D$102,10000)-1000)*11+MAX(0,MIN(설정값!$D$102,25000)-10000)*7+MAX(0,설정값!$D$102-25000)*4)*설정값!$D$103/1000000,MAX(0,J48-J25))</f>
        <v/>
      </c>
      <c r="K56" s="134">
        <f>IF(설정값!$D$101="O",(MIN(설정값!$D$102,1000)*14+MAX(0,MIN(설정값!$D$102,10000)-1000)*11+MAX(0,MIN(설정값!$D$102,25000)-10000)*7+MAX(0,설정값!$D$102-25000)*4)*설정값!$D$103/1000000,MAX(0,K48-K25))</f>
        <v/>
      </c>
      <c r="L56" s="134">
        <f>IF(설정값!$D$101="O",(MIN(설정값!$D$102,1000)*14+MAX(0,MIN(설정값!$D$102,10000)-1000)*11+MAX(0,MIN(설정값!$D$102,25000)-10000)*7+MAX(0,설정값!$D$102-25000)*4)*설정값!$D$103/1000000,MAX(0,L48-L25))</f>
        <v/>
      </c>
      <c r="M56" s="134">
        <f>IF(설정값!$D$101="O",(MIN(설정값!$D$102,1000)*14+MAX(0,MIN(설정값!$D$102,10000)-1000)*11+MAX(0,MIN(설정값!$D$102,25000)-10000)*7+MAX(0,설정값!$D$102-25000)*4)*설정값!$D$103/1000000,MAX(0,M48-M25))</f>
        <v/>
      </c>
      <c r="N56" s="134">
        <f>IF(설정값!$D$101="O",(MIN(설정값!$D$102,1000)*14+MAX(0,MIN(설정값!$D$102,10000)-1000)*11+MAX(0,MIN(설정값!$D$102,25000)-10000)*7+MAX(0,설정값!$D$102-25000)*4)*설정값!$D$103/1000000,MAX(0,N48-N25))</f>
        <v/>
      </c>
    </row>
    <row r="57">
      <c r="B57" s="50" t="inlineStr">
        <is>
          <t>(−) 법인세</t>
        </is>
      </c>
      <c r="C57" s="101" t="inlineStr">
        <is>
          <t>undefined</t>
        </is>
      </c>
      <c r="D57" s="134">
        <f>-IF(D56&lt;=0,0,MIN(D56,200)*0.099+MAX(0,MIN(D56,20000)-200)*0.209+MAX(0,MIN(D56,300000)-20000)*0.231+MAX(0,D56-300000)*0.264)</f>
        <v/>
      </c>
      <c r="E57" s="134">
        <f>-IF(E56&lt;=0,0,MIN(E56,200)*0.099+MAX(0,MIN(E56,20000)-200)*0.209+MAX(0,MIN(E56,300000)-20000)*0.231+MAX(0,E56-300000)*0.264)</f>
        <v/>
      </c>
      <c r="F57" s="134">
        <f>-IF(F56&lt;=0,0,MIN(F56,200)*0.099+MAX(0,MIN(F56,20000)-200)*0.209+MAX(0,MIN(F56,300000)-20000)*0.231+MAX(0,F56-300000)*0.264)</f>
        <v/>
      </c>
      <c r="G57" s="134">
        <f>-IF(G56&lt;=0,0,MIN(G56,200)*0.099+MAX(0,MIN(G56,20000)-200)*0.209+MAX(0,MIN(G56,300000)-20000)*0.231+MAX(0,G56-300000)*0.264)</f>
        <v/>
      </c>
      <c r="H57" s="134">
        <f>-IF(H56&lt;=0,0,MIN(H56,200)*0.099+MAX(0,MIN(H56,20000)-200)*0.209+MAX(0,MIN(H56,300000)-20000)*0.231+MAX(0,H56-300000)*0.264)</f>
        <v/>
      </c>
      <c r="I57" s="134">
        <f>-IF(I56&lt;=0,0,MIN(I56,200)*0.099+MAX(0,MIN(I56,20000)-200)*0.209+MAX(0,MIN(I56,300000)-20000)*0.231+MAX(0,I56-300000)*0.264)</f>
        <v/>
      </c>
      <c r="J57" s="134">
        <f>-IF(J56&lt;=0,0,MIN(J56,200)*0.099+MAX(0,MIN(J56,20000)-200)*0.209+MAX(0,MIN(J56,300000)-20000)*0.231+MAX(0,J56-300000)*0.264)</f>
        <v/>
      </c>
      <c r="K57" s="134">
        <f>-IF(K56&lt;=0,0,MIN(K56,200)*0.099+MAX(0,MIN(K56,20000)-200)*0.209+MAX(0,MIN(K56,300000)-20000)*0.231+MAX(0,K56-300000)*0.264)</f>
        <v/>
      </c>
      <c r="L57" s="134">
        <f>-IF(L56&lt;=0,0,MIN(L56,200)*0.099+MAX(0,MIN(L56,20000)-200)*0.209+MAX(0,MIN(L56,300000)-20000)*0.231+MAX(0,L56-300000)*0.264)</f>
        <v/>
      </c>
      <c r="M57" s="134">
        <f>-IF(M56&lt;=0,0,MIN(M56,200)*0.099+MAX(0,MIN(M56,20000)-200)*0.209+MAX(0,MIN(M56,300000)-20000)*0.231+MAX(0,M56-300000)*0.264)</f>
        <v/>
      </c>
      <c r="N57" s="134">
        <f>-IF(N56&lt;=0,0,MIN(N56,200)*0.099+MAX(0,MIN(N56,20000)-200)*0.209+MAX(0,MIN(N56,300000)-20000)*0.231+MAX(0,N56-300000)*0.264)</f>
        <v/>
      </c>
    </row>
    <row r="58">
      <c r="B58" s="50" t="inlineStr">
        <is>
          <t>(−) 우발 수리유보금</t>
        </is>
      </c>
      <c r="C58" s="101" t="inlineStr">
        <is>
          <t>undefined</t>
        </is>
      </c>
      <c r="D58" s="134">
        <f>-설정값!$D$106*(1+설정값!$D$107)^D$5</f>
        <v/>
      </c>
      <c r="E58" s="134">
        <f>-설정값!$D$106*(1+설정값!$D$107)^E$5</f>
        <v/>
      </c>
      <c r="F58" s="134">
        <f>-설정값!$D$106*(1+설정값!$D$107)^F$5</f>
        <v/>
      </c>
      <c r="G58" s="134">
        <f>-설정값!$D$106*(1+설정값!$D$107)^G$5</f>
        <v/>
      </c>
      <c r="H58" s="134">
        <f>-설정값!$D$106*(1+설정값!$D$107)^H$5</f>
        <v/>
      </c>
      <c r="I58" s="134">
        <f>-설정값!$D$106*(1+설정값!$D$107)^I$5</f>
        <v/>
      </c>
      <c r="J58" s="134">
        <f>-설정값!$D$106*(1+설정값!$D$107)^J$5</f>
        <v/>
      </c>
      <c r="K58" s="134">
        <f>-설정값!$D$106*(1+설정값!$D$107)^K$5</f>
        <v/>
      </c>
      <c r="L58" s="134">
        <f>-설정값!$D$106*(1+설정값!$D$107)^L$5</f>
        <v/>
      </c>
      <c r="M58" s="134">
        <f>-설정값!$D$106*(1+설정값!$D$107)^M$5</f>
        <v/>
      </c>
      <c r="N58" s="134">
        <f>-설정값!$D$106*(1+설정값!$D$107)^N$5</f>
        <v/>
      </c>
    </row>
    <row r="59">
      <c r="B59" s="50" t="inlineStr">
        <is>
          <t>(−) 선박 대체 유보금</t>
        </is>
      </c>
      <c r="C59" s="101" t="inlineStr">
        <is>
          <t>undefined</t>
        </is>
      </c>
      <c r="D59" s="134">
        <f>-설정값!$D$50*설정값!$D$108/설정값!$D$51*(1+설정값!$D$109)^D$5</f>
        <v/>
      </c>
      <c r="E59" s="134">
        <f>-설정값!$D$50*설정값!$D$108/설정값!$D$51*(1+설정값!$D$109)^E$5</f>
        <v/>
      </c>
      <c r="F59" s="134">
        <f>-설정값!$D$50*설정값!$D$108/설정값!$D$51*(1+설정값!$D$109)^F$5</f>
        <v/>
      </c>
      <c r="G59" s="134">
        <f>-설정값!$D$50*설정값!$D$108/설정값!$D$51*(1+설정값!$D$109)^G$5</f>
        <v/>
      </c>
      <c r="H59" s="134">
        <f>-설정값!$D$50*설정값!$D$108/설정값!$D$51*(1+설정값!$D$109)^H$5</f>
        <v/>
      </c>
      <c r="I59" s="134">
        <f>-설정값!$D$50*설정값!$D$108/설정값!$D$51*(1+설정값!$D$109)^I$5</f>
        <v/>
      </c>
      <c r="J59" s="134">
        <f>-설정값!$D$50*설정값!$D$108/설정값!$D$51*(1+설정값!$D$109)^J$5</f>
        <v/>
      </c>
      <c r="K59" s="134">
        <f>-설정값!$D$50*설정값!$D$108/설정값!$D$51*(1+설정값!$D$109)^K$5</f>
        <v/>
      </c>
      <c r="L59" s="134">
        <f>-설정값!$D$50*설정값!$D$108/설정값!$D$51*(1+설정값!$D$109)^L$5</f>
        <v/>
      </c>
      <c r="M59" s="134">
        <f>-설정값!$D$50*설정값!$D$108/설정값!$D$51*(1+설정값!$D$109)^M$5</f>
        <v/>
      </c>
      <c r="N59" s="134">
        <f>-설정값!$D$50*설정값!$D$108/설정값!$D$51*(1+설정값!$D$109)^N$5</f>
        <v/>
      </c>
    </row>
    <row r="60">
      <c r="B60" s="69" t="inlineStr">
        <is>
          <t>＝ CFADS (부채상환가능재원)</t>
        </is>
      </c>
      <c r="C60" s="101" t="inlineStr">
        <is>
          <t>undefined</t>
        </is>
      </c>
      <c r="D60" s="136">
        <f>D48+D54+D55+D57+D58+D59</f>
        <v/>
      </c>
      <c r="E60" s="136">
        <f>E48+E54+E55+E57+E58+E59</f>
        <v/>
      </c>
      <c r="F60" s="136">
        <f>F48+F54+F55+F57+F58+F59</f>
        <v/>
      </c>
      <c r="G60" s="136">
        <f>G48+G54+G55+G57+G58+G59</f>
        <v/>
      </c>
      <c r="H60" s="136">
        <f>H48+H54+H55+H57+H58+H59</f>
        <v/>
      </c>
      <c r="I60" s="136">
        <f>I48+I54+I55+I57+I58+I59</f>
        <v/>
      </c>
      <c r="J60" s="136">
        <f>J48+J54+J55+J57+J58+J59</f>
        <v/>
      </c>
      <c r="K60" s="136">
        <f>K48+K54+K55+K57+K58+K59</f>
        <v/>
      </c>
      <c r="L60" s="136">
        <f>L48+L54+L55+L57+L58+L59</f>
        <v/>
      </c>
      <c r="M60" s="136">
        <f>M48+M54+M55+M57+M58+M59</f>
        <v/>
      </c>
      <c r="N60" s="136">
        <f>N48+N54+N55+N57+N58+N59</f>
        <v/>
      </c>
    </row>
    <row r="61">
      <c r="B61" s="50" t="inlineStr">
        <is>
          <t>(−) 차입금 원금상환</t>
        </is>
      </c>
      <c r="C61" s="101" t="inlineStr">
        <is>
          <t>undefined</t>
        </is>
      </c>
      <c r="D61" s="134">
        <f>-차입금_상환!$F$20/1000000</f>
        <v/>
      </c>
      <c r="E61" s="134">
        <f>-차입금_상환!$F$21/1000000</f>
        <v/>
      </c>
      <c r="F61" s="134">
        <f>-차입금_상환!$F$22/1000000</f>
        <v/>
      </c>
      <c r="G61" s="134">
        <f>-차입금_상환!$F$23/1000000</f>
        <v/>
      </c>
      <c r="H61" s="134">
        <f>-차입금_상환!$F$24/1000000</f>
        <v/>
      </c>
      <c r="I61" s="134">
        <f>-차입금_상환!$F$25/1000000</f>
        <v/>
      </c>
      <c r="J61" s="134">
        <f>-차입금_상환!$F$26/1000000</f>
        <v/>
      </c>
      <c r="K61" s="134">
        <f>-차입금_상환!$F$27/1000000</f>
        <v/>
      </c>
      <c r="L61" s="134">
        <f>-차입금_상환!$F$28/1000000</f>
        <v/>
      </c>
      <c r="M61" s="134">
        <f>-차입금_상환!$F$29/1000000</f>
        <v/>
      </c>
      <c r="N61" s="134">
        <f>-차입금_상환!$F$30/1000000</f>
        <v/>
      </c>
    </row>
    <row r="62">
      <c r="B62" s="50" t="inlineStr">
        <is>
          <t>연간 원리금 (선체이자 + 원금)</t>
        </is>
      </c>
      <c r="C62" s="101" t="inlineStr">
        <is>
          <t>undefined</t>
        </is>
      </c>
      <c r="D62" s="134">
        <f>D25-D61</f>
        <v/>
      </c>
      <c r="E62" s="134">
        <f>E25-E61</f>
        <v/>
      </c>
      <c r="F62" s="134">
        <f>F25-F61</f>
        <v/>
      </c>
      <c r="G62" s="134">
        <f>G25-G61</f>
        <v/>
      </c>
      <c r="H62" s="134">
        <f>H25-H61</f>
        <v/>
      </c>
      <c r="I62" s="134">
        <f>I25-I61</f>
        <v/>
      </c>
      <c r="J62" s="134">
        <f>J25-J61</f>
        <v/>
      </c>
      <c r="K62" s="134">
        <f>K25-K61</f>
        <v/>
      </c>
      <c r="L62" s="134">
        <f>L25-L61</f>
        <v/>
      </c>
      <c r="M62" s="134">
        <f>M25-M61</f>
        <v/>
      </c>
      <c r="N62" s="134">
        <f>N25-N61</f>
        <v/>
      </c>
    </row>
    <row r="63">
      <c r="B63" s="69" t="inlineStr">
        <is>
          <t>부채상환커버리지비율 (DSCR)</t>
        </is>
      </c>
      <c r="C63" s="101" t="inlineStr">
        <is>
          <t>undefined</t>
        </is>
      </c>
      <c r="D63" s="147">
        <f>IFERROR(IF(D62&gt;0,D60/D62,""),"")</f>
        <v/>
      </c>
      <c r="E63" s="147">
        <f>IFERROR(IF(E62&gt;0,E60/E62,""),"")</f>
        <v/>
      </c>
      <c r="F63" s="147">
        <f>IFERROR(IF(F62&gt;0,F60/F62,""),"")</f>
        <v/>
      </c>
      <c r="G63" s="147">
        <f>IFERROR(IF(G62&gt;0,G60/G62,""),"")</f>
        <v/>
      </c>
      <c r="H63" s="147">
        <f>IFERROR(IF(H62&gt;0,H60/H62,""),"")</f>
        <v/>
      </c>
      <c r="I63" s="147">
        <f>IFERROR(IF(I62&gt;0,I60/I62,""),"")</f>
        <v/>
      </c>
      <c r="J63" s="147">
        <f>IFERROR(IF(J62&gt;0,J60/J62,""),"")</f>
        <v/>
      </c>
      <c r="K63" s="147">
        <f>IFERROR(IF(K62&gt;0,K60/K62,""),"")</f>
        <v/>
      </c>
      <c r="L63" s="147">
        <f>IFERROR(IF(L62&gt;0,L60/L62,""),"")</f>
        <v/>
      </c>
      <c r="M63" s="147">
        <f>IFERROR(IF(M62&gt;0,M60/M62,""),"")</f>
        <v/>
      </c>
      <c r="N63" s="147">
        <f>IFERROR(IF(N62&gt;0,N60/N62,""),"")</f>
        <v/>
      </c>
    </row>
    <row r="64">
      <c r="B64" s="69" t="inlineStr">
        <is>
          <t>＝ 상환 후 잉여현금</t>
        </is>
      </c>
      <c r="C64" s="101" t="inlineStr">
        <is>
          <t>undefined</t>
        </is>
      </c>
      <c r="D64" s="136">
        <f>D60-D62</f>
        <v/>
      </c>
      <c r="E64" s="136">
        <f>E60-E62</f>
        <v/>
      </c>
      <c r="F64" s="136">
        <f>F60-F62</f>
        <v/>
      </c>
      <c r="G64" s="136">
        <f>G60-G62</f>
        <v/>
      </c>
      <c r="H64" s="136">
        <f>H60-H62</f>
        <v/>
      </c>
      <c r="I64" s="136">
        <f>I60-I62</f>
        <v/>
      </c>
      <c r="J64" s="136">
        <f>J60-J62</f>
        <v/>
      </c>
      <c r="K64" s="136">
        <f>K60-K62</f>
        <v/>
      </c>
      <c r="L64" s="136">
        <f>L60-L62</f>
        <v/>
      </c>
      <c r="M64" s="136">
        <f>M60-M62</f>
        <v/>
      </c>
      <c r="N64" s="136">
        <f>N60-N62</f>
        <v/>
      </c>
    </row>
    <row r="65">
      <c r="B65" s="3" t="inlineStr">
        <is>
          <t>CFADS = 영업이익 + 감가상각비 + 선체이자 − 법인세 − 우발수리유보금 − 선박대체유보금. 선체이자는 이 표에서 운항원가 안에 있으므로 되더한 뒤 분모(원리금)에서 다시 센다 — 이중 차감이 아니다.</t>
        </is>
      </c>
    </row>
  </sheetData>
  <pageMargins left="0.75" right="0.75" top="1" bottom="1" header="0.511811023622047" footer="0.511811023622047"/>
  <pageSetup orientation="landscape" fitToHeight="0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B1:Y100"/>
  <sheetViews>
    <sheetView topLeftCell="A11" zoomScale="85" zoomScaleNormal="85" workbookViewId="0">
      <selection activeCell="I104" sqref="I104"/>
    </sheetView>
  </sheetViews>
  <sheetFormatPr baseColWidth="8" defaultColWidth="8.7109375" defaultRowHeight="15"/>
  <cols>
    <col width="2" customWidth="1" min="1" max="1"/>
    <col width="22" customWidth="1" min="2" max="2"/>
    <col width="17" bestFit="1" customWidth="1" min="3" max="3"/>
    <col width="43.28515625" bestFit="1" customWidth="1" min="4" max="4"/>
    <col width="13" customWidth="1" min="5" max="5"/>
    <col width="14.140625" bestFit="1" customWidth="1" min="6" max="6"/>
    <col width="10" customWidth="1" min="7" max="8"/>
    <col width="14" customWidth="1" min="9" max="10"/>
    <col width="10" customWidth="1" min="11" max="11"/>
    <col width="13" customWidth="1" min="12" max="12"/>
    <col width="10" customWidth="1" min="13" max="14"/>
    <col width="11" customWidth="1" min="15" max="15"/>
    <col width="12" customWidth="1" min="16" max="25"/>
  </cols>
  <sheetData>
    <row r="1" ht="26.25" customHeight="1">
      <c r="B1" s="2" t="inlineStr">
        <is>
          <t>목표 영업이익률 도달 지표 — 참조(대저페리 3기) · 대조 선박</t>
        </is>
      </c>
    </row>
    <row r="2">
      <c r="B2" s="3" t="inlineStr">
        <is>
          <t>영업이익 = (P·Q + O) − (F + SV/항차·항차(Q) + v·Q) · 목표 r 을 만족하는 Q = (F + SV·항차 − (1−r)·O) ÷ ((1−r)·P − v)</t>
        </is>
      </c>
    </row>
    <row r="4" ht="16.5" customHeight="1">
      <c r="B4" s="24" t="inlineStr">
        <is>
          <t>A. 참조 — 대저페리 제3기 원가 구조 (엘도라도 익스프레스호)</t>
        </is>
      </c>
    </row>
    <row r="5" ht="15" customHeight="1">
      <c r="B5" s="122" t="inlineStr">
        <is>
          <t>모형 입력</t>
        </is>
      </c>
      <c r="C5" s="122" t="inlineStr">
        <is>
          <t>값</t>
        </is>
      </c>
      <c r="D5" s="122" t="inlineStr">
        <is>
          <t>근거</t>
        </is>
      </c>
      <c r="E5" s="154" t="n"/>
      <c r="F5" s="154" t="n"/>
      <c r="G5" s="154" t="n"/>
      <c r="H5" s="155" t="n"/>
    </row>
    <row r="6">
      <c r="B6" s="11" t="inlineStr">
        <is>
          <t>고정비 F</t>
        </is>
      </c>
      <c r="C6" s="134">
        <f>원가구조_기준!$F$68</f>
        <v/>
      </c>
      <c r="D6" s="3" t="inlineStr">
        <is>
          <t>원가구조_기준 5</t>
        </is>
      </c>
    </row>
    <row r="7">
      <c r="B7" s="11" t="inlineStr">
        <is>
          <t>준변동비 SV</t>
        </is>
      </c>
      <c r="C7" s="134">
        <f>원가구조_기준!$G$68</f>
        <v/>
      </c>
      <c r="D7" s="3" t="inlineStr">
        <is>
          <t>항차에 비례</t>
        </is>
      </c>
    </row>
    <row r="8">
      <c r="B8" s="11" t="inlineStr">
        <is>
          <t>설정 항차</t>
        </is>
      </c>
      <c r="C8" s="55">
        <f>설정값!$D$11</f>
        <v/>
      </c>
      <c r="D8" s="3" t="n"/>
    </row>
    <row r="9">
      <c r="B9" s="11" t="inlineStr">
        <is>
          <t>실현 단가 P</t>
        </is>
      </c>
      <c r="C9" s="134">
        <f>원가구조_기준!$C$44</f>
        <v/>
      </c>
      <c r="D9" s="3" t="n"/>
    </row>
    <row r="10">
      <c r="B10" s="11" t="inlineStr">
        <is>
          <t>승객 1인 변동비 v</t>
        </is>
      </c>
      <c r="C10" s="134">
        <f>원가구조_기준!$C$74</f>
        <v/>
      </c>
      <c r="D10" s="3" t="n"/>
    </row>
    <row r="11">
      <c r="B11" s="11" t="inlineStr">
        <is>
          <t>여객 외 수입 O</t>
        </is>
      </c>
      <c r="C11" s="134">
        <f>원가구조_기준!$C$8</f>
        <v/>
      </c>
      <c r="D11" s="3" t="inlineStr">
        <is>
          <t>화물 + 임대료 (실적)</t>
        </is>
      </c>
    </row>
    <row r="12">
      <c r="B12" s="11" t="inlineStr">
        <is>
          <t>정원</t>
        </is>
      </c>
      <c r="C12" s="55">
        <f>원가구조_기준!$C$47</f>
        <v/>
      </c>
      <c r="D12" s="3" t="inlineStr">
        <is>
          <t>엘도라도</t>
        </is>
      </c>
    </row>
    <row r="13">
      <c r="B13" s="11" t="inlineStr">
        <is>
          <t>항차 자동 증가</t>
        </is>
      </c>
      <c r="C13" s="11">
        <f>설정값!$D$18</f>
        <v/>
      </c>
      <c r="D13" s="3" t="n"/>
    </row>
    <row r="14">
      <c r="B14" s="11" t="inlineStr">
        <is>
          <t>현재 승객수</t>
        </is>
      </c>
      <c r="C14" s="55">
        <f>원가구조_기준!$C$46</f>
        <v/>
      </c>
      <c r="D14" s="3" t="inlineStr">
        <is>
          <t>시뮬레이션 승객수</t>
        </is>
      </c>
    </row>
    <row r="15">
      <c r="B15" s="11" t="inlineStr">
        <is>
          <t>비교 기준 승객수</t>
        </is>
      </c>
      <c r="C15" s="55">
        <f>원가구조_기준!$C$45</f>
        <v/>
      </c>
      <c r="D15" s="3" t="inlineStr">
        <is>
          <t>실적 역산</t>
        </is>
      </c>
    </row>
    <row r="16">
      <c r="B16" s="11" t="inlineStr">
        <is>
          <t>변동비 환산 분모</t>
        </is>
      </c>
      <c r="C16" s="55">
        <f>원가구조_기준!$C$45</f>
        <v/>
      </c>
      <c r="D16" s="3" t="inlineStr">
        <is>
          <t>실적 역산 (공통)</t>
        </is>
      </c>
    </row>
    <row r="17">
      <c r="B17" s="11" t="inlineStr">
        <is>
          <t>수동 추가 변동비</t>
        </is>
      </c>
      <c r="C17" s="134">
        <f>설정값!$D$17</f>
        <v/>
      </c>
      <c r="D17" s="3" t="n"/>
    </row>
    <row r="18">
      <c r="B18" s="11" t="inlineStr">
        <is>
          <t>목표 영업이익률</t>
        </is>
      </c>
      <c r="C18" s="135">
        <f>설정값!$D$19</f>
        <v/>
      </c>
      <c r="D18" s="3" t="n"/>
    </row>
    <row r="19">
      <c r="B19" s="11" t="inlineStr">
        <is>
          <t>운항원가 — 고정</t>
        </is>
      </c>
      <c r="C19" s="134">
        <f>원가구조_기준!$F$69</f>
        <v/>
      </c>
      <c r="D19" s="3" t="n"/>
    </row>
    <row r="20">
      <c r="B20" s="11" t="inlineStr">
        <is>
          <t>운항원가 — 준변동</t>
        </is>
      </c>
      <c r="C20" s="134">
        <f>원가구조_기준!$G$69</f>
        <v/>
      </c>
      <c r="D20" s="3" t="n"/>
    </row>
    <row r="21">
      <c r="B21" s="11" t="inlineStr">
        <is>
          <t>운항원가 — 변동</t>
        </is>
      </c>
      <c r="C21" s="134">
        <f>원가구조_기준!$H$69</f>
        <v/>
      </c>
      <c r="D21" s="3" t="n"/>
    </row>
    <row r="22">
      <c r="B22" s="11" t="inlineStr">
        <is>
          <t>판관비 — 고정</t>
        </is>
      </c>
      <c r="C22" s="134">
        <f>원가구조_기준!$F$70</f>
        <v/>
      </c>
      <c r="D22" s="3" t="n"/>
    </row>
    <row r="23">
      <c r="B23" s="11" t="inlineStr">
        <is>
          <t>판관비 — 준변동</t>
        </is>
      </c>
      <c r="C23" s="134">
        <f>원가구조_기준!$G$70</f>
        <v/>
      </c>
      <c r="D23" s="3" t="n"/>
    </row>
    <row r="24">
      <c r="B24" s="11" t="inlineStr">
        <is>
          <t>판관비 — 변동</t>
        </is>
      </c>
      <c r="C24" s="134">
        <f>원가구조_기준!$H$70</f>
        <v/>
      </c>
      <c r="D24" s="3" t="n"/>
    </row>
    <row r="25">
      <c r="B25" s="11" t="inlineStr">
        <is>
          <t>전사 인건비</t>
        </is>
      </c>
      <c r="C25" s="134">
        <f>원가구조_기준!$C$20+원가구조_기준!$C$34</f>
        <v/>
      </c>
      <c r="D25" s="3" t="inlineStr">
        <is>
          <t>운항 인건비 + 판관 급여영역</t>
        </is>
      </c>
    </row>
    <row r="26">
      <c r="B26" s="18" t="inlineStr">
        <is>
          <t>현재 설정 승객수에서</t>
        </is>
      </c>
    </row>
    <row r="27">
      <c r="B27" s="122" t="inlineStr">
        <is>
          <t>항목</t>
        </is>
      </c>
      <c r="C27" s="122" t="inlineStr">
        <is>
          <t>값</t>
        </is>
      </c>
    </row>
    <row r="28">
      <c r="B28" s="11" t="inlineStr">
        <is>
          <t>적용 항차</t>
        </is>
      </c>
      <c r="C28" s="55">
        <f>IF(AND($C$13="O",$C$12&gt;0),MAX($C$8,CEILING(($C$14)/$C$12,1)),$C$8)</f>
        <v/>
      </c>
    </row>
    <row r="29">
      <c r="B29" s="11" t="inlineStr">
        <is>
          <t>매출액</t>
        </is>
      </c>
      <c r="C29" s="134">
        <f>$C$14*$C$9+$C$11</f>
        <v/>
      </c>
    </row>
    <row r="30">
      <c r="B30" s="11" t="inlineStr">
        <is>
          <t>총비용</t>
        </is>
      </c>
      <c r="C30" s="134">
        <f>($C$6+$C$7/$C$8*(IF(AND($C$13="O",$C$12&gt;0),MAX($C$8,CEILING(($C$14)/$C$12,1)),$C$8))+$C$10*($C$14))</f>
        <v/>
      </c>
    </row>
    <row r="31">
      <c r="B31" s="11" t="inlineStr">
        <is>
          <t>영업이익</t>
        </is>
      </c>
      <c r="C31" s="134">
        <f>$C$29-$C$30</f>
        <v/>
      </c>
    </row>
    <row r="32">
      <c r="B32" s="50" t="inlineStr">
        <is>
          <t>영업이익률</t>
        </is>
      </c>
      <c r="C32" s="147">
        <f>IFERROR($C$31/$C$29,0)</f>
        <v/>
      </c>
    </row>
    <row r="33">
      <c r="Q33" s="3" t="inlineStr">
        <is>
          <t>반복계산 보조 — "항차 자동 증가"가 O일 때 승객수가 항차를 밀어 올리면 다시 푼다 ( qFor 과 같은 절차)</t>
        </is>
      </c>
    </row>
    <row r="34" ht="30" customHeight="1">
      <c r="B34" s="122" t="inlineStr">
        <is>
          <t>목표 영업이익률</t>
        </is>
      </c>
      <c r="C34" s="122" t="inlineStr">
        <is>
          <t>필요 승객수</t>
        </is>
      </c>
      <c r="D34" s="122" t="inlineStr">
        <is>
          <t>실적 대비(명)</t>
        </is>
      </c>
      <c r="E34" s="122" t="inlineStr">
        <is>
          <t>필요 운임
(현재 승객 고정)</t>
        </is>
      </c>
      <c r="F34" s="122" t="inlineStr">
        <is>
          <t>항차당
승객</t>
        </is>
      </c>
      <c r="G34" s="122" t="inlineStr">
        <is>
          <t>적용 항차</t>
        </is>
      </c>
      <c r="H34" s="122" t="inlineStr">
        <is>
          <t>승선율</t>
        </is>
      </c>
      <c r="I34" s="122" t="inlineStr">
        <is>
          <t>매출액</t>
        </is>
      </c>
      <c r="J34" s="122" t="inlineStr">
        <is>
          <t>운항원가</t>
        </is>
      </c>
      <c r="K34" s="122" t="inlineStr">
        <is>
          <t>운항원가율</t>
        </is>
      </c>
      <c r="L34" s="122" t="inlineStr">
        <is>
          <t>판관비</t>
        </is>
      </c>
      <c r="M34" s="122" t="inlineStr">
        <is>
          <t>판관비율</t>
        </is>
      </c>
      <c r="N34" s="122" t="inlineStr">
        <is>
          <t>전사
인건비율</t>
        </is>
      </c>
      <c r="O34" s="122" t="inlineStr">
        <is>
          <t>영업이익률
(검증)</t>
        </is>
      </c>
      <c r="P34" s="122" t="inlineStr">
        <is>
          <t>필요 승객수 — 화물 제외</t>
        </is>
      </c>
      <c r="Q34" s="122" t="inlineStr">
        <is>
          <t>분모 (1−r)P−v</t>
        </is>
      </c>
      <c r="R34" s="122" t="inlineStr">
        <is>
          <t>항차0</t>
        </is>
      </c>
      <c r="S34" s="72" t="inlineStr">
        <is>
          <t>Q0</t>
        </is>
      </c>
      <c r="T34" s="122" t="inlineStr">
        <is>
          <t>항차1</t>
        </is>
      </c>
      <c r="U34" s="72" t="inlineStr">
        <is>
          <t>Q1</t>
        </is>
      </c>
      <c r="V34" s="122" t="inlineStr">
        <is>
          <t>항차2</t>
        </is>
      </c>
      <c r="W34" s="72" t="inlineStr">
        <is>
          <t>Q2</t>
        </is>
      </c>
      <c r="X34" s="122" t="inlineStr">
        <is>
          <t>항차3</t>
        </is>
      </c>
      <c r="Y34" s="72" t="inlineStr">
        <is>
          <t>Q3</t>
        </is>
      </c>
    </row>
    <row r="35">
      <c r="B35" s="156" t="n">
        <v>0</v>
      </c>
      <c r="C35" s="59">
        <f>IF($Q35&lt;=0,"달성 불가",Y35)</f>
        <v/>
      </c>
      <c r="D35" s="157">
        <f>IF(ISNUMBER(C35),C35-$C$15,"")</f>
        <v/>
      </c>
      <c r="E35" s="134">
        <f>IFERROR((($C$6+$C$7/$C$8*IF(AND($C$13="O",$C$12&gt;0),MAX($C$8,CEILING(($C$14)/$C$12,1)),$C$8)+$C$10*$C$14)/(1-$B35)-$C$11)/$C$14,"")</f>
        <v/>
      </c>
      <c r="F35" s="55">
        <f>IF(ISNUMBER(C35),C35/$C$8,"")</f>
        <v/>
      </c>
      <c r="G35" s="55">
        <f>IF(ISNUMBER(C35),IF(AND($C$13="O",$C$12&gt;0),MAX($C$8,CEILING((C35)/$C$12,1)),$C$8),"")</f>
        <v/>
      </c>
      <c r="H35" s="135">
        <f>IF(AND(ISNUMBER(C35),$C$12&gt;0),C35/($C$12*$C$8),"")</f>
        <v/>
      </c>
      <c r="I35" s="134">
        <f>IF(ISNUMBER(C35),C35*$C$9+$C$11,"")</f>
        <v/>
      </c>
      <c r="J35" s="134">
        <f>IF(ISNUMBER(C35),$C$19+$C$20/$C$8*G35+$C$21/$C$16*C35+$C$17*C35,"")</f>
        <v/>
      </c>
      <c r="K35" s="135">
        <f>IF(ISNUMBER(C35),J35/I35,"")</f>
        <v/>
      </c>
      <c r="L35" s="134">
        <f>IF(ISNUMBER(C35),$C$22+$C$23/$C$8*G35+$C$24/$C$16*C35,"")</f>
        <v/>
      </c>
      <c r="M35" s="135">
        <f>IF(ISNUMBER(C35),L35/I35,"")</f>
        <v/>
      </c>
      <c r="N35" s="135">
        <f>IF(ISNUMBER(C35),$C$25/I35,"")</f>
        <v/>
      </c>
      <c r="O35" s="135">
        <f>IF(ISNUMBER(C35),(I35-J35-L35)/I35,"")</f>
        <v/>
      </c>
      <c r="P35" s="59">
        <f>IF($Q35&lt;=0,"달성 불가",MAX(0,($C$6+$C$7/$C$8*X35-(1-$B35)*($C$11-원가구조_기준!$C$9))/$Q35))</f>
        <v/>
      </c>
      <c r="Q35" s="134">
        <f>(1-$B35)*$C$9-$C$10</f>
        <v/>
      </c>
      <c r="R35" s="55">
        <f>$C$8</f>
        <v/>
      </c>
      <c r="S35" s="55">
        <f>IF($Q35&lt;=0,0,MAX(0,($C$6+$C$7/$C$8*R35-(1-$B35)*$C$11)/$Q35))</f>
        <v/>
      </c>
      <c r="T35" s="55">
        <f>IF(AND($C$13="O",$C$12&gt;0),MAX($C$8,CEILING((S35)/$C$12,1)),$C$8)</f>
        <v/>
      </c>
      <c r="U35" s="55">
        <f>IF($Q35&lt;=0,0,MAX(0,($C$6+$C$7/$C$8*T35-(1-$B35)*$C$11)/$Q35))</f>
        <v/>
      </c>
      <c r="V35" s="55">
        <f>IF(AND($C$13="O",$C$12&gt;0),MAX($C$8,CEILING((U35)/$C$12,1)),$C$8)</f>
        <v/>
      </c>
      <c r="W35" s="55">
        <f>IF($Q35&lt;=0,0,MAX(0,($C$6+$C$7/$C$8*V35-(1-$B35)*$C$11)/$Q35))</f>
        <v/>
      </c>
      <c r="X35" s="55">
        <f>IF(AND($C$13="O",$C$12&gt;0),MAX($C$8,CEILING((W35)/$C$12,1)),$C$8)</f>
        <v/>
      </c>
      <c r="Y35" s="55">
        <f>IF($Q35&lt;=0,0,MAX(0,($C$6+$C$7/$C$8*X35-(1-$B35)*$C$11)/$Q35))</f>
        <v/>
      </c>
    </row>
    <row r="36">
      <c r="B36" s="84" t="n">
        <v>0.03</v>
      </c>
      <c r="C36" s="59">
        <f>IF($Q36&lt;=0,"달성 불가",Y36)</f>
        <v/>
      </c>
      <c r="D36" s="157">
        <f>IF(ISNUMBER(C36),C36-$C$15,"")</f>
        <v/>
      </c>
      <c r="E36" s="134">
        <f>IFERROR((($C$6+$C$7/$C$8*IF(AND($C$13="O",$C$12&gt;0),MAX($C$8,CEILING(($C$14)/$C$12,1)),$C$8)+$C$10*$C$14)/(1-$B36)-$C$11)/$C$14,"")</f>
        <v/>
      </c>
      <c r="F36" s="55">
        <f>IF(ISNUMBER(C36),C36/$C$8,"")</f>
        <v/>
      </c>
      <c r="G36" s="55">
        <f>IF(ISNUMBER(C36),IF(AND($C$13="O",$C$12&gt;0),MAX($C$8,CEILING((C36)/$C$12,1)),$C$8),"")</f>
        <v/>
      </c>
      <c r="H36" s="135">
        <f>IF(AND(ISNUMBER(C36),$C$12&gt;0),C36/($C$12*$C$8),"")</f>
        <v/>
      </c>
      <c r="I36" s="134">
        <f>IF(ISNUMBER(C36),C36*$C$9+$C$11,"")</f>
        <v/>
      </c>
      <c r="J36" s="134">
        <f>IF(ISNUMBER(C36),$C$19+$C$20/$C$8*G36+$C$21/$C$16*C36+$C$17*C36,"")</f>
        <v/>
      </c>
      <c r="K36" s="135">
        <f>IF(ISNUMBER(C36),J36/I36,"")</f>
        <v/>
      </c>
      <c r="L36" s="134">
        <f>IF(ISNUMBER(C36),$C$22+$C$23/$C$8*G36+$C$24/$C$16*C36,"")</f>
        <v/>
      </c>
      <c r="M36" s="135">
        <f>IF(ISNUMBER(C36),L36/I36,"")</f>
        <v/>
      </c>
      <c r="N36" s="135">
        <f>IF(ISNUMBER(C36),$C$25/I36,"")</f>
        <v/>
      </c>
      <c r="O36" s="135">
        <f>IF(ISNUMBER(C36),(I36-J36-L36)/I36,"")</f>
        <v/>
      </c>
      <c r="P36" s="59">
        <f>IF($Q36&lt;=0,"달성 불가",MAX(0,($C$6+$C$7/$C$8*X36-(1-$B36)*($C$11-원가구조_기준!$C$9))/$Q36))</f>
        <v/>
      </c>
      <c r="Q36" s="134">
        <f>(1-$B36)*$C$9-$C$10</f>
        <v/>
      </c>
      <c r="R36" s="55">
        <f>$C$8</f>
        <v/>
      </c>
      <c r="S36" s="55">
        <f>IF($Q36&lt;=0,0,MAX(0,($C$6+$C$7/$C$8*R36-(1-$B36)*$C$11)/$Q36))</f>
        <v/>
      </c>
      <c r="T36" s="55">
        <f>IF(AND($C$13="O",$C$12&gt;0),MAX($C$8,CEILING((S36)/$C$12,1)),$C$8)</f>
        <v/>
      </c>
      <c r="U36" s="55">
        <f>IF($Q36&lt;=0,0,MAX(0,($C$6+$C$7/$C$8*T36-(1-$B36)*$C$11)/$Q36))</f>
        <v/>
      </c>
      <c r="V36" s="55">
        <f>IF(AND($C$13="O",$C$12&gt;0),MAX($C$8,CEILING((U36)/$C$12,1)),$C$8)</f>
        <v/>
      </c>
      <c r="W36" s="55">
        <f>IF($Q36&lt;=0,0,MAX(0,($C$6+$C$7/$C$8*V36-(1-$B36)*$C$11)/$Q36))</f>
        <v/>
      </c>
      <c r="X36" s="55">
        <f>IF(AND($C$13="O",$C$12&gt;0),MAX($C$8,CEILING((W36)/$C$12,1)),$C$8)</f>
        <v/>
      </c>
      <c r="Y36" s="55">
        <f>IF($Q36&lt;=0,0,MAX(0,($C$6+$C$7/$C$8*X36-(1-$B36)*$C$11)/$Q36))</f>
        <v/>
      </c>
    </row>
    <row r="37">
      <c r="B37" s="84" t="n">
        <v>0.05</v>
      </c>
      <c r="C37" s="59">
        <f>IF($Q37&lt;=0,"달성 불가",Y37)</f>
        <v/>
      </c>
      <c r="D37" s="157">
        <f>IF(ISNUMBER(C37),C37-$C$15,"")</f>
        <v/>
      </c>
      <c r="E37" s="134">
        <f>IFERROR((($C$6+$C$7/$C$8*IF(AND($C$13="O",$C$12&gt;0),MAX($C$8,CEILING(($C$14)/$C$12,1)),$C$8)+$C$10*$C$14)/(1-$B37)-$C$11)/$C$14,"")</f>
        <v/>
      </c>
      <c r="F37" s="55">
        <f>IF(ISNUMBER(C37),C37/$C$8,"")</f>
        <v/>
      </c>
      <c r="G37" s="55">
        <f>IF(ISNUMBER(C37),IF(AND($C$13="O",$C$12&gt;0),MAX($C$8,CEILING((C37)/$C$12,1)),$C$8),"")</f>
        <v/>
      </c>
      <c r="H37" s="135">
        <f>IF(AND(ISNUMBER(C37),$C$12&gt;0),C37/($C$12*$C$8),"")</f>
        <v/>
      </c>
      <c r="I37" s="134">
        <f>IF(ISNUMBER(C37),C37*$C$9+$C$11,"")</f>
        <v/>
      </c>
      <c r="J37" s="134">
        <f>IF(ISNUMBER(C37),$C$19+$C$20/$C$8*G37+$C$21/$C$16*C37+$C$17*C37,"")</f>
        <v/>
      </c>
      <c r="K37" s="135">
        <f>IF(ISNUMBER(C37),J37/I37,"")</f>
        <v/>
      </c>
      <c r="L37" s="134">
        <f>IF(ISNUMBER(C37),$C$22+$C$23/$C$8*G37+$C$24/$C$16*C37,"")</f>
        <v/>
      </c>
      <c r="M37" s="135">
        <f>IF(ISNUMBER(C37),L37/I37,"")</f>
        <v/>
      </c>
      <c r="N37" s="135">
        <f>IF(ISNUMBER(C37),$C$25/I37,"")</f>
        <v/>
      </c>
      <c r="O37" s="135">
        <f>IF(ISNUMBER(C37),(I37-J37-L37)/I37,"")</f>
        <v/>
      </c>
      <c r="P37" s="59">
        <f>IF($Q37&lt;=0,"달성 불가",MAX(0,($C$6+$C$7/$C$8*X37-(1-$B37)*($C$11-원가구조_기준!$C$9))/$Q37))</f>
        <v/>
      </c>
      <c r="Q37" s="134">
        <f>(1-$B37)*$C$9-$C$10</f>
        <v/>
      </c>
      <c r="R37" s="55">
        <f>$C$8</f>
        <v/>
      </c>
      <c r="S37" s="55">
        <f>IF($Q37&lt;=0,0,MAX(0,($C$6+$C$7/$C$8*R37-(1-$B37)*$C$11)/$Q37))</f>
        <v/>
      </c>
      <c r="T37" s="55">
        <f>IF(AND($C$13="O",$C$12&gt;0),MAX($C$8,CEILING((S37)/$C$12,1)),$C$8)</f>
        <v/>
      </c>
      <c r="U37" s="55">
        <f>IF($Q37&lt;=0,0,MAX(0,($C$6+$C$7/$C$8*T37-(1-$B37)*$C$11)/$Q37))</f>
        <v/>
      </c>
      <c r="V37" s="55">
        <f>IF(AND($C$13="O",$C$12&gt;0),MAX($C$8,CEILING((U37)/$C$12,1)),$C$8)</f>
        <v/>
      </c>
      <c r="W37" s="55">
        <f>IF($Q37&lt;=0,0,MAX(0,($C$6+$C$7/$C$8*V37-(1-$B37)*$C$11)/$Q37))</f>
        <v/>
      </c>
      <c r="X37" s="55">
        <f>IF(AND($C$13="O",$C$12&gt;0),MAX($C$8,CEILING((W37)/$C$12,1)),$C$8)</f>
        <v/>
      </c>
      <c r="Y37" s="55">
        <f>IF($Q37&lt;=0,0,MAX(0,($C$6+$C$7/$C$8*X37-(1-$B37)*$C$11)/$Q37))</f>
        <v/>
      </c>
    </row>
    <row r="38">
      <c r="B38" s="84" t="n">
        <v>0.08</v>
      </c>
      <c r="C38" s="59">
        <f>IF($Q38&lt;=0,"달성 불가",Y38)</f>
        <v/>
      </c>
      <c r="D38" s="157">
        <f>IF(ISNUMBER(C38),C38-$C$15,"")</f>
        <v/>
      </c>
      <c r="E38" s="134">
        <f>IFERROR((($C$6+$C$7/$C$8*IF(AND($C$13="O",$C$12&gt;0),MAX($C$8,CEILING(($C$14)/$C$12,1)),$C$8)+$C$10*$C$14)/(1-$B38)-$C$11)/$C$14,"")</f>
        <v/>
      </c>
      <c r="F38" s="55">
        <f>IF(ISNUMBER(C38),C38/$C$8,"")</f>
        <v/>
      </c>
      <c r="G38" s="55">
        <f>IF(ISNUMBER(C38),IF(AND($C$13="O",$C$12&gt;0),MAX($C$8,CEILING((C38)/$C$12,1)),$C$8),"")</f>
        <v/>
      </c>
      <c r="H38" s="135">
        <f>IF(AND(ISNUMBER(C38),$C$12&gt;0),C38/($C$12*$C$8),"")</f>
        <v/>
      </c>
      <c r="I38" s="134">
        <f>IF(ISNUMBER(C38),C38*$C$9+$C$11,"")</f>
        <v/>
      </c>
      <c r="J38" s="134">
        <f>IF(ISNUMBER(C38),$C$19+$C$20/$C$8*G38+$C$21/$C$16*C38+$C$17*C38,"")</f>
        <v/>
      </c>
      <c r="K38" s="135">
        <f>IF(ISNUMBER(C38),J38/I38,"")</f>
        <v/>
      </c>
      <c r="L38" s="134">
        <f>IF(ISNUMBER(C38),$C$22+$C$23/$C$8*G38+$C$24/$C$16*C38,"")</f>
        <v/>
      </c>
      <c r="M38" s="135">
        <f>IF(ISNUMBER(C38),L38/I38,"")</f>
        <v/>
      </c>
      <c r="N38" s="135">
        <f>IF(ISNUMBER(C38),$C$25/I38,"")</f>
        <v/>
      </c>
      <c r="O38" s="135">
        <f>IF(ISNUMBER(C38),(I38-J38-L38)/I38,"")</f>
        <v/>
      </c>
      <c r="P38" s="59">
        <f>IF($Q38&lt;=0,"달성 불가",MAX(0,($C$6+$C$7/$C$8*X38-(1-$B38)*($C$11-원가구조_기준!$C$9))/$Q38))</f>
        <v/>
      </c>
      <c r="Q38" s="134">
        <f>(1-$B38)*$C$9-$C$10</f>
        <v/>
      </c>
      <c r="R38" s="55">
        <f>$C$8</f>
        <v/>
      </c>
      <c r="S38" s="55">
        <f>IF($Q38&lt;=0,0,MAX(0,($C$6+$C$7/$C$8*R38-(1-$B38)*$C$11)/$Q38))</f>
        <v/>
      </c>
      <c r="T38" s="55">
        <f>IF(AND($C$13="O",$C$12&gt;0),MAX($C$8,CEILING((S38)/$C$12,1)),$C$8)</f>
        <v/>
      </c>
      <c r="U38" s="55">
        <f>IF($Q38&lt;=0,0,MAX(0,($C$6+$C$7/$C$8*T38-(1-$B38)*$C$11)/$Q38))</f>
        <v/>
      </c>
      <c r="V38" s="55">
        <f>IF(AND($C$13="O",$C$12&gt;0),MAX($C$8,CEILING((U38)/$C$12,1)),$C$8)</f>
        <v/>
      </c>
      <c r="W38" s="55">
        <f>IF($Q38&lt;=0,0,MAX(0,($C$6+$C$7/$C$8*V38-(1-$B38)*$C$11)/$Q38))</f>
        <v/>
      </c>
      <c r="X38" s="55">
        <f>IF(AND($C$13="O",$C$12&gt;0),MAX($C$8,CEILING((W38)/$C$12,1)),$C$8)</f>
        <v/>
      </c>
      <c r="Y38" s="55">
        <f>IF($Q38&lt;=0,0,MAX(0,($C$6+$C$7/$C$8*X38-(1-$B38)*$C$11)/$Q38))</f>
        <v/>
      </c>
    </row>
    <row r="39">
      <c r="B39" s="84" t="n">
        <v>0.1</v>
      </c>
      <c r="C39" s="59">
        <f>IF($Q39&lt;=0,"달성 불가",Y39)</f>
        <v/>
      </c>
      <c r="D39" s="157">
        <f>IF(ISNUMBER(C39),C39-$C$15,"")</f>
        <v/>
      </c>
      <c r="E39" s="134">
        <f>IFERROR((($C$6+$C$7/$C$8*IF(AND($C$13="O",$C$12&gt;0),MAX($C$8,CEILING(($C$14)/$C$12,1)),$C$8)+$C$10*$C$14)/(1-$B39)-$C$11)/$C$14,"")</f>
        <v/>
      </c>
      <c r="F39" s="55">
        <f>IF(ISNUMBER(C39),C39/$C$8,"")</f>
        <v/>
      </c>
      <c r="G39" s="55">
        <f>IF(ISNUMBER(C39),IF(AND($C$13="O",$C$12&gt;0),MAX($C$8,CEILING((C39)/$C$12,1)),$C$8),"")</f>
        <v/>
      </c>
      <c r="H39" s="135">
        <f>IF(AND(ISNUMBER(C39),$C$12&gt;0),C39/($C$12*$C$8),"")</f>
        <v/>
      </c>
      <c r="I39" s="134">
        <f>IF(ISNUMBER(C39),C39*$C$9+$C$11,"")</f>
        <v/>
      </c>
      <c r="J39" s="134">
        <f>IF(ISNUMBER(C39),$C$19+$C$20/$C$8*G39+$C$21/$C$16*C39+$C$17*C39,"")</f>
        <v/>
      </c>
      <c r="K39" s="135">
        <f>IF(ISNUMBER(C39),J39/I39,"")</f>
        <v/>
      </c>
      <c r="L39" s="134">
        <f>IF(ISNUMBER(C39),$C$22+$C$23/$C$8*G39+$C$24/$C$16*C39,"")</f>
        <v/>
      </c>
      <c r="M39" s="135">
        <f>IF(ISNUMBER(C39),L39/I39,"")</f>
        <v/>
      </c>
      <c r="N39" s="135">
        <f>IF(ISNUMBER(C39),$C$25/I39,"")</f>
        <v/>
      </c>
      <c r="O39" s="135">
        <f>IF(ISNUMBER(C39),(I39-J39-L39)/I39,"")</f>
        <v/>
      </c>
      <c r="P39" s="59">
        <f>IF($Q39&lt;=0,"달성 불가",MAX(0,($C$6+$C$7/$C$8*X39-(1-$B39)*($C$11-원가구조_기준!$C$9))/$Q39))</f>
        <v/>
      </c>
      <c r="Q39" s="134">
        <f>(1-$B39)*$C$9-$C$10</f>
        <v/>
      </c>
      <c r="R39" s="55">
        <f>$C$8</f>
        <v/>
      </c>
      <c r="S39" s="55">
        <f>IF($Q39&lt;=0,0,MAX(0,($C$6+$C$7/$C$8*R39-(1-$B39)*$C$11)/$Q39))</f>
        <v/>
      </c>
      <c r="T39" s="55">
        <f>IF(AND($C$13="O",$C$12&gt;0),MAX($C$8,CEILING((S39)/$C$12,1)),$C$8)</f>
        <v/>
      </c>
      <c r="U39" s="55">
        <f>IF($Q39&lt;=0,0,MAX(0,($C$6+$C$7/$C$8*T39-(1-$B39)*$C$11)/$Q39))</f>
        <v/>
      </c>
      <c r="V39" s="55">
        <f>IF(AND($C$13="O",$C$12&gt;0),MAX($C$8,CEILING((U39)/$C$12,1)),$C$8)</f>
        <v/>
      </c>
      <c r="W39" s="55">
        <f>IF($Q39&lt;=0,0,MAX(0,($C$6+$C$7/$C$8*V39-(1-$B39)*$C$11)/$Q39))</f>
        <v/>
      </c>
      <c r="X39" s="55">
        <f>IF(AND($C$13="O",$C$12&gt;0),MAX($C$8,CEILING((W39)/$C$12,1)),$C$8)</f>
        <v/>
      </c>
      <c r="Y39" s="55">
        <f>IF($Q39&lt;=0,0,MAX(0,($C$6+$C$7/$C$8*X39-(1-$B39)*$C$11)/$Q39))</f>
        <v/>
      </c>
    </row>
    <row r="40">
      <c r="B40" s="84" t="n">
        <v>0.15</v>
      </c>
      <c r="C40" s="59">
        <f>IF($Q40&lt;=0,"달성 불가",Y40)</f>
        <v/>
      </c>
      <c r="D40" s="157">
        <f>IF(ISNUMBER(C40),C40-$C$15,"")</f>
        <v/>
      </c>
      <c r="E40" s="134">
        <f>IFERROR((($C$6+$C$7/$C$8*IF(AND($C$13="O",$C$12&gt;0),MAX($C$8,CEILING(($C$14)/$C$12,1)),$C$8)+$C$10*$C$14)/(1-$B40)-$C$11)/$C$14,"")</f>
        <v/>
      </c>
      <c r="F40" s="55">
        <f>IF(ISNUMBER(C40),C40/$C$8,"")</f>
        <v/>
      </c>
      <c r="G40" s="55">
        <f>IF(ISNUMBER(C40),IF(AND($C$13="O",$C$12&gt;0),MAX($C$8,CEILING((C40)/$C$12,1)),$C$8),"")</f>
        <v/>
      </c>
      <c r="H40" s="135">
        <f>IF(AND(ISNUMBER(C40),$C$12&gt;0),C40/($C$12*$C$8),"")</f>
        <v/>
      </c>
      <c r="I40" s="134">
        <f>IF(ISNUMBER(C40),C40*$C$9+$C$11,"")</f>
        <v/>
      </c>
      <c r="J40" s="134">
        <f>IF(ISNUMBER(C40),$C$19+$C$20/$C$8*G40+$C$21/$C$16*C40+$C$17*C40,"")</f>
        <v/>
      </c>
      <c r="K40" s="135">
        <f>IF(ISNUMBER(C40),J40/I40,"")</f>
        <v/>
      </c>
      <c r="L40" s="134">
        <f>IF(ISNUMBER(C40),$C$22+$C$23/$C$8*G40+$C$24/$C$16*C40,"")</f>
        <v/>
      </c>
      <c r="M40" s="135">
        <f>IF(ISNUMBER(C40),L40/I40,"")</f>
        <v/>
      </c>
      <c r="N40" s="135">
        <f>IF(ISNUMBER(C40),$C$25/I40,"")</f>
        <v/>
      </c>
      <c r="O40" s="135">
        <f>IF(ISNUMBER(C40),(I40-J40-L40)/I40,"")</f>
        <v/>
      </c>
      <c r="P40" s="59">
        <f>IF($Q40&lt;=0,"달성 불가",MAX(0,($C$6+$C$7/$C$8*X40-(1-$B40)*($C$11-원가구조_기준!$C$9))/$Q40))</f>
        <v/>
      </c>
      <c r="Q40" s="134">
        <f>(1-$B40)*$C$9-$C$10</f>
        <v/>
      </c>
      <c r="R40" s="55">
        <f>$C$8</f>
        <v/>
      </c>
      <c r="S40" s="55">
        <f>IF($Q40&lt;=0,0,MAX(0,($C$6+$C$7/$C$8*R40-(1-$B40)*$C$11)/$Q40))</f>
        <v/>
      </c>
      <c r="T40" s="55">
        <f>IF(AND($C$13="O",$C$12&gt;0),MAX($C$8,CEILING((S40)/$C$12,1)),$C$8)</f>
        <v/>
      </c>
      <c r="U40" s="55">
        <f>IF($Q40&lt;=0,0,MAX(0,($C$6+$C$7/$C$8*T40-(1-$B40)*$C$11)/$Q40))</f>
        <v/>
      </c>
      <c r="V40" s="55">
        <f>IF(AND($C$13="O",$C$12&gt;0),MAX($C$8,CEILING((U40)/$C$12,1)),$C$8)</f>
        <v/>
      </c>
      <c r="W40" s="55">
        <f>IF($Q40&lt;=0,0,MAX(0,($C$6+$C$7/$C$8*V40-(1-$B40)*$C$11)/$Q40))</f>
        <v/>
      </c>
      <c r="X40" s="55">
        <f>IF(AND($C$13="O",$C$12&gt;0),MAX($C$8,CEILING((W40)/$C$12,1)),$C$8)</f>
        <v/>
      </c>
      <c r="Y40" s="55">
        <f>IF($Q40&lt;=0,0,MAX(0,($C$6+$C$7/$C$8*X40-(1-$B40)*$C$11)/$Q40))</f>
        <v/>
      </c>
    </row>
    <row r="41">
      <c r="B41" s="158">
        <f>$C$18</f>
        <v/>
      </c>
      <c r="C41" s="67">
        <f>IF($Q41&lt;=0,"달성 불가",Y41)</f>
        <v/>
      </c>
      <c r="D41" s="159">
        <f>IF(ISNUMBER(C41),C41-$C$15,"")</f>
        <v/>
      </c>
      <c r="E41" s="138">
        <f>IFERROR((($C$6+$C$7/$C$8*IF(AND($C$13="O",$C$12&gt;0),MAX($C$8,CEILING(($C$14)/$C$12,1)),$C$8)+$C$10*$C$14)/(1-$B41)-$C$11)/$C$14,"")</f>
        <v/>
      </c>
      <c r="F41" s="28">
        <f>IF(ISNUMBER(C41),C41/$C$8,"")</f>
        <v/>
      </c>
      <c r="G41" s="28">
        <f>IF(ISNUMBER(C41),IF(AND($C$13="O",$C$12&gt;0),MAX($C$8,CEILING((C41)/$C$12,1)),$C$8),"")</f>
        <v/>
      </c>
      <c r="H41" s="137">
        <f>IF(AND(ISNUMBER(C41),$C$12&gt;0),C41/($C$12*$C$8),"")</f>
        <v/>
      </c>
      <c r="I41" s="138">
        <f>IF(ISNUMBER(C41),C41*$C$9+$C$11,"")</f>
        <v/>
      </c>
      <c r="J41" s="138">
        <f>IF(ISNUMBER(C41),$C$19+$C$20/$C$8*G41+$C$21/$C$16*C41+$C$17*C41,"")</f>
        <v/>
      </c>
      <c r="K41" s="137">
        <f>IF(ISNUMBER(C41),J41/I41,"")</f>
        <v/>
      </c>
      <c r="L41" s="138">
        <f>IF(ISNUMBER(C41),$C$22+$C$23/$C$8*G41+$C$24/$C$16*C41,"")</f>
        <v/>
      </c>
      <c r="M41" s="137">
        <f>IF(ISNUMBER(C41),L41/I41,"")</f>
        <v/>
      </c>
      <c r="N41" s="137">
        <f>IF(ISNUMBER(C41),$C$25/I41,"")</f>
        <v/>
      </c>
      <c r="O41" s="137">
        <f>IF(ISNUMBER(C41),(I41-J41-L41)/I41,"")</f>
        <v/>
      </c>
      <c r="P41" s="59">
        <f>IF($Q41&lt;=0,"달성 불가",MAX(0,($C$6+$C$7/$C$8*X41-(1-$B41)*($C$11-원가구조_기준!$C$9))/$Q41))</f>
        <v/>
      </c>
      <c r="Q41" s="134">
        <f>(1-$B41)*$C$9-$C$10</f>
        <v/>
      </c>
      <c r="R41" s="55">
        <f>$C$8</f>
        <v/>
      </c>
      <c r="S41" s="55">
        <f>IF($Q41&lt;=0,0,MAX(0,($C$6+$C$7/$C$8*R41-(1-$B41)*$C$11)/$Q41))</f>
        <v/>
      </c>
      <c r="T41" s="55">
        <f>IF(AND($C$13="O",$C$12&gt;0),MAX($C$8,CEILING((S41)/$C$12,1)),$C$8)</f>
        <v/>
      </c>
      <c r="U41" s="55">
        <f>IF($Q41&lt;=0,0,MAX(0,($C$6+$C$7/$C$8*T41-(1-$B41)*$C$11)/$Q41))</f>
        <v/>
      </c>
      <c r="V41" s="55">
        <f>IF(AND($C$13="O",$C$12&gt;0),MAX($C$8,CEILING((U41)/$C$12,1)),$C$8)</f>
        <v/>
      </c>
      <c r="W41" s="55">
        <f>IF($Q41&lt;=0,0,MAX(0,($C$6+$C$7/$C$8*V41-(1-$B41)*$C$11)/$Q41))</f>
        <v/>
      </c>
      <c r="X41" s="55">
        <f>IF(AND($C$13="O",$C$12&gt;0),MAX($C$8,CEILING((W41)/$C$12,1)),$C$8)</f>
        <v/>
      </c>
      <c r="Y41" s="55">
        <f>IF($Q41&lt;=0,0,MAX(0,($C$6+$C$7/$C$8*X41-(1-$B41)*$C$11)/$Q41))</f>
        <v/>
      </c>
    </row>
    <row r="42">
      <c r="B42" s="3" t="inlineStr">
        <is>
          <t>필요 운임 = ((F + SV·항차(Q현재) + v·Q현재) ÷ (1−r) − O) ÷ Q현재 · 운항원가·판관비는 원가 구성표의 포함·성격을 따라 승객수로 다시 세운 값 · 영업이익률(검증) = 목표값과 같아야 한다</t>
        </is>
      </c>
      <c r="P42" s="3" t="inlineStr">
        <is>
          <t>화물 제외 = 여객 외 수입 O 에서 화물수입을 뺀 값으로 같은 식을 다시 푼 필요 승객수. 화물 선적율 가정이 통째로 빗나갔을 때 몇 명을 더 태워야 하는가. 항차는 화물 포함 해의 수렴값을 그대로 쓴다.</t>
        </is>
      </c>
    </row>
    <row r="44">
      <c r="B44" s="122" t="inlineStr">
        <is>
          <t>설정 목표 기준</t>
        </is>
      </c>
      <c r="C44" s="122" t="inlineStr">
        <is>
          <t>값</t>
        </is>
      </c>
      <c r="D44" s="122" t="inlineStr">
        <is>
          <t>비교</t>
        </is>
      </c>
    </row>
    <row r="45">
      <c r="B45" s="50" t="inlineStr">
        <is>
          <t>필요 승객수</t>
        </is>
      </c>
      <c r="C45" s="67">
        <f>C41</f>
        <v/>
      </c>
      <c r="D45" s="3">
        <f>IF(ISNUMBER(C41),"실적 "&amp;TEXT($C$15,"#,##0")&amp;"명 대비 "&amp;TEXT(C41/$C$15-1,"+0.0%;-0.0%"),"운임 ≤ 변동비")</f>
        <v/>
      </c>
    </row>
    <row r="46">
      <c r="B46" s="50" t="inlineStr">
        <is>
          <t>필요 운임</t>
        </is>
      </c>
      <c r="C46" s="136">
        <f>E41</f>
        <v/>
      </c>
      <c r="D46" s="3">
        <f>"승객 "&amp;TEXT($C$14,"#,##0")&amp;"명 고정 시 · 현재 대비 "&amp;TEXT(E41/$C$9-1,"+0.0%;-0.0%")</f>
        <v/>
      </c>
    </row>
    <row r="47">
      <c r="B47" s="50" t="inlineStr">
        <is>
          <t>필요 매출액</t>
        </is>
      </c>
      <c r="C47" s="136">
        <f>I41</f>
        <v/>
      </c>
      <c r="D47" s="3">
        <f>IF(ISNUMBER(I41),"현재 설정 "&amp;TEXT($C$29/1000000,"#,##0")&amp;"백만 대비 "&amp;TEXT(I41/$C$29-1,"+0.0%;-0.0%"),"")</f>
        <v/>
      </c>
    </row>
    <row r="48">
      <c r="B48" s="50" t="inlineStr">
        <is>
          <t>허용 총비용</t>
        </is>
      </c>
      <c r="C48" s="136">
        <f>IF(ISNUMBER(C41),J41+L41,"")</f>
        <v/>
      </c>
      <c r="D48" s="3">
        <f>IF(ISNUMBER(C41),"영업이익 "&amp;TEXT((I41-J41-L41)/1000000,"#,##0")&amp;"백만 확보","")</f>
        <v/>
      </c>
    </row>
    <row r="50" ht="16.5" customHeight="1">
      <c r="B50" s="24" t="inlineStr">
        <is>
          <t>B. 대조 선박 — 하카타 항로 투입 시나리오</t>
        </is>
      </c>
    </row>
    <row r="51" ht="15" customHeight="1">
      <c r="B51" s="122" t="inlineStr">
        <is>
          <t>모형 입력</t>
        </is>
      </c>
      <c r="C51" s="122" t="inlineStr">
        <is>
          <t>값</t>
        </is>
      </c>
      <c r="D51" s="122" t="inlineStr">
        <is>
          <t>근거</t>
        </is>
      </c>
      <c r="E51" s="154" t="n"/>
      <c r="F51" s="154" t="n"/>
      <c r="G51" s="154" t="n"/>
      <c r="H51" s="155" t="n"/>
    </row>
    <row r="52">
      <c r="B52" s="11" t="inlineStr">
        <is>
          <t>고정비 F</t>
        </is>
      </c>
      <c r="C52" s="134">
        <f>대조선박_손익!$F$115</f>
        <v/>
      </c>
      <c r="D52" s="3" t="inlineStr">
        <is>
          <t>대조선박_손익 5</t>
        </is>
      </c>
    </row>
    <row r="53">
      <c r="B53" s="11" t="inlineStr">
        <is>
          <t>준변동비 SV</t>
        </is>
      </c>
      <c r="C53" s="134">
        <f>대조선박_손익!$G$115</f>
        <v/>
      </c>
      <c r="D53" s="3" t="n"/>
    </row>
    <row r="54">
      <c r="B54" s="11" t="inlineStr">
        <is>
          <t>설정 항차</t>
        </is>
      </c>
      <c r="C54" s="55">
        <f>설정값!$D$43</f>
        <v/>
      </c>
      <c r="D54" s="3" t="n"/>
    </row>
    <row r="55">
      <c r="B55" s="11" t="inlineStr">
        <is>
          <t>실현 단가 P</t>
        </is>
      </c>
      <c r="C55" s="134">
        <f>대조선박_손익!$C$23</f>
        <v/>
      </c>
      <c r="D55" s="3" t="n"/>
    </row>
    <row r="56">
      <c r="B56" s="11" t="inlineStr">
        <is>
          <t>승객 1인 변동비 v</t>
        </is>
      </c>
      <c r="C56" s="134">
        <f>원가구조_기준!$C$74</f>
        <v/>
      </c>
      <c r="D56" s="3" t="inlineStr">
        <is>
          <t>기준 자료와 같은 v</t>
        </is>
      </c>
    </row>
    <row r="57">
      <c r="B57" s="11" t="inlineStr">
        <is>
          <t>여객 외 수입 O</t>
        </is>
      </c>
      <c r="C57" s="134">
        <f>대조선박_손익!$C$32</f>
        <v/>
      </c>
      <c r="D57" s="3" t="inlineStr">
        <is>
          <t>화물 시뮬레이션 + 임대료</t>
        </is>
      </c>
    </row>
    <row r="58">
      <c r="B58" s="11" t="inlineStr">
        <is>
          <t>정원</t>
        </is>
      </c>
      <c r="C58" s="55">
        <f>대조선박_손익!$C$7</f>
        <v/>
      </c>
      <c r="D58" s="3" t="n"/>
    </row>
    <row r="59">
      <c r="B59" s="11" t="inlineStr">
        <is>
          <t>항차 자동 증가</t>
        </is>
      </c>
      <c r="C59" s="11">
        <f>설정값!$D$18</f>
        <v/>
      </c>
      <c r="D59" s="3" t="n"/>
    </row>
    <row r="60">
      <c r="B60" s="11" t="inlineStr">
        <is>
          <t>현재 승객수</t>
        </is>
      </c>
      <c r="C60" s="55">
        <f>대조선박_손익!$C$25</f>
        <v/>
      </c>
      <c r="D60" s="3" t="inlineStr">
        <is>
          <t>승선율 기반</t>
        </is>
      </c>
    </row>
    <row r="61">
      <c r="B61" s="11" t="inlineStr">
        <is>
          <t>비교 기준 승객수</t>
        </is>
      </c>
      <c r="C61" s="55">
        <f>대조선박_손익!$C$25</f>
        <v/>
      </c>
      <c r="D61" s="3" t="inlineStr">
        <is>
          <t>현재 설정</t>
        </is>
      </c>
    </row>
    <row r="62">
      <c r="B62" s="11" t="inlineStr">
        <is>
          <t>변동비 환산 분모</t>
        </is>
      </c>
      <c r="C62" s="55">
        <f>원가구조_기준!$C$45</f>
        <v/>
      </c>
      <c r="D62" s="3" t="inlineStr">
        <is>
          <t>실적 역산 ( 규칙)</t>
        </is>
      </c>
    </row>
    <row r="63">
      <c r="B63" s="11" t="inlineStr">
        <is>
          <t>수동 추가 변동비</t>
        </is>
      </c>
      <c r="C63" s="134">
        <f>설정값!$D$17</f>
        <v/>
      </c>
      <c r="D63" s="3" t="n"/>
    </row>
    <row r="64">
      <c r="B64" s="11" t="inlineStr">
        <is>
          <t>목표 영업이익률</t>
        </is>
      </c>
      <c r="C64" s="135">
        <f>설정값!$D$44</f>
        <v/>
      </c>
      <c r="D64" s="3" t="n"/>
    </row>
    <row r="65">
      <c r="B65" s="11" t="inlineStr">
        <is>
          <t>운항원가 — 고정</t>
        </is>
      </c>
      <c r="C65" s="134">
        <f>대조선박_손익!$F$116</f>
        <v/>
      </c>
      <c r="D65" s="3" t="n"/>
    </row>
    <row r="66">
      <c r="B66" s="11" t="inlineStr">
        <is>
          <t>운항원가 — 준변동</t>
        </is>
      </c>
      <c r="C66" s="134">
        <f>대조선박_손익!$G$116</f>
        <v/>
      </c>
      <c r="D66" s="3" t="n"/>
    </row>
    <row r="67">
      <c r="B67" s="11" t="inlineStr">
        <is>
          <t>운항원가 — 변동</t>
        </is>
      </c>
      <c r="C67" s="134">
        <f>대조선박_손익!$H$116</f>
        <v/>
      </c>
      <c r="D67" s="3" t="n"/>
    </row>
    <row r="68">
      <c r="B68" s="11" t="inlineStr">
        <is>
          <t>판관비 — 고정</t>
        </is>
      </c>
      <c r="C68" s="134">
        <f>대조선박_손익!$F$117</f>
        <v/>
      </c>
      <c r="D68" s="3" t="n"/>
    </row>
    <row r="69">
      <c r="B69" s="11" t="inlineStr">
        <is>
          <t>판관비 — 준변동</t>
        </is>
      </c>
      <c r="C69" s="134">
        <f>대조선박_손익!$G$117</f>
        <v/>
      </c>
      <c r="D69" s="3" t="n"/>
    </row>
    <row r="70">
      <c r="B70" s="11" t="inlineStr">
        <is>
          <t>판관비 — 변동</t>
        </is>
      </c>
      <c r="C70" s="134">
        <f>대조선박_손익!$H$117</f>
        <v/>
      </c>
      <c r="D70" s="3" t="n"/>
    </row>
    <row r="71">
      <c r="B71" s="11" t="inlineStr">
        <is>
          <t>전사 인건비</t>
        </is>
      </c>
      <c r="C71" s="134">
        <f>대조선박_손익!$C$34+대조선박_손익!$C$35</f>
        <v/>
      </c>
      <c r="D71" s="3" t="inlineStr">
        <is>
          <t>운항 인건비 × hR + 대조 판관 급여</t>
        </is>
      </c>
    </row>
    <row r="72">
      <c r="B72" s="18" t="inlineStr">
        <is>
          <t>현재 설정 승객수에서</t>
        </is>
      </c>
    </row>
    <row r="73">
      <c r="B73" s="122" t="inlineStr">
        <is>
          <t>항목</t>
        </is>
      </c>
      <c r="C73" s="122" t="inlineStr">
        <is>
          <t>값</t>
        </is>
      </c>
    </row>
    <row r="74">
      <c r="B74" s="11" t="inlineStr">
        <is>
          <t>적용 항차</t>
        </is>
      </c>
      <c r="C74" s="55">
        <f>IF(AND($C$59="O",$C$58&gt;0),MAX($C$54,CEILING(($C$60)/$C$58,1)),$C$54)</f>
        <v/>
      </c>
    </row>
    <row r="75">
      <c r="B75" s="11" t="inlineStr">
        <is>
          <t>매출액</t>
        </is>
      </c>
      <c r="C75" s="134">
        <f>$C$60*$C$55+$C$57</f>
        <v/>
      </c>
    </row>
    <row r="76">
      <c r="B76" s="11" t="inlineStr">
        <is>
          <t>총비용</t>
        </is>
      </c>
      <c r="C76" s="134">
        <f>($C$52+$C$53/$C$54*(IF(AND($C$59="O",$C$58&gt;0),MAX($C$54,CEILING(($C$60)/$C$58,1)),$C$54))+$C$56*($C$60))</f>
        <v/>
      </c>
    </row>
    <row r="77">
      <c r="B77" s="11" t="inlineStr">
        <is>
          <t>영업이익</t>
        </is>
      </c>
      <c r="C77" s="134">
        <f>$C$75-$C$76</f>
        <v/>
      </c>
    </row>
    <row r="78">
      <c r="B78" s="50" t="inlineStr">
        <is>
          <t>영업이익률</t>
        </is>
      </c>
      <c r="C78" s="147">
        <f>IFERROR($C$77/$C$75,0)</f>
        <v/>
      </c>
    </row>
    <row r="79">
      <c r="Q79" s="3" t="inlineStr">
        <is>
          <t>반복계산 보조 — "항차 자동 증가"가 O일 때 승객수가 항차를 밀어 올리면 다시 푼다 ( qFor 과 같은 절차)</t>
        </is>
      </c>
    </row>
    <row r="80" ht="30" customHeight="1">
      <c r="B80" s="122" t="inlineStr">
        <is>
          <t>목표 영업이익률</t>
        </is>
      </c>
      <c r="C80" s="122" t="inlineStr">
        <is>
          <t>필요 승객수</t>
        </is>
      </c>
      <c r="D80" s="122" t="inlineStr">
        <is>
          <t>현재 대비(명)</t>
        </is>
      </c>
      <c r="E80" s="122" t="inlineStr">
        <is>
          <t>필요 운임
(현재 승객 고정)</t>
        </is>
      </c>
      <c r="F80" s="122" t="inlineStr">
        <is>
          <t>항차당
승객</t>
        </is>
      </c>
      <c r="G80" s="122" t="inlineStr">
        <is>
          <t>적용 항차</t>
        </is>
      </c>
      <c r="H80" s="122" t="inlineStr">
        <is>
          <t>승선율</t>
        </is>
      </c>
      <c r="I80" s="122" t="inlineStr">
        <is>
          <t>매출액</t>
        </is>
      </c>
      <c r="J80" s="122" t="inlineStr">
        <is>
          <t>운항원가</t>
        </is>
      </c>
      <c r="K80" s="122" t="inlineStr">
        <is>
          <t>운항원가율</t>
        </is>
      </c>
      <c r="L80" s="122" t="inlineStr">
        <is>
          <t>판관비</t>
        </is>
      </c>
      <c r="M80" s="122" t="inlineStr">
        <is>
          <t>판관비율</t>
        </is>
      </c>
      <c r="N80" s="122" t="inlineStr">
        <is>
          <t>전사
인건비율</t>
        </is>
      </c>
      <c r="O80" s="122" t="inlineStr">
        <is>
          <t>영업이익률
(검증)</t>
        </is>
      </c>
      <c r="P80" s="122" t="inlineStr">
        <is>
          <t>필요 승객수 — 화물 제외</t>
        </is>
      </c>
      <c r="Q80" s="122" t="inlineStr">
        <is>
          <t>분모 (1−r)P−v</t>
        </is>
      </c>
      <c r="R80" s="122" t="inlineStr">
        <is>
          <t>항차0</t>
        </is>
      </c>
      <c r="S80" s="72" t="inlineStr">
        <is>
          <t>Q0</t>
        </is>
      </c>
      <c r="T80" s="122" t="inlineStr">
        <is>
          <t>항차1</t>
        </is>
      </c>
      <c r="U80" s="72" t="inlineStr">
        <is>
          <t>Q1</t>
        </is>
      </c>
      <c r="V80" s="122" t="inlineStr">
        <is>
          <t>항차2</t>
        </is>
      </c>
      <c r="W80" s="72" t="inlineStr">
        <is>
          <t>Q2</t>
        </is>
      </c>
      <c r="X80" s="122" t="inlineStr">
        <is>
          <t>항차3</t>
        </is>
      </c>
      <c r="Y80" s="72" t="inlineStr">
        <is>
          <t>Q3</t>
        </is>
      </c>
    </row>
    <row r="81">
      <c r="B81" s="156" t="n">
        <v>0</v>
      </c>
      <c r="C81" s="59">
        <f>IF($Q81&lt;=0,"달성 불가",Y81)</f>
        <v/>
      </c>
      <c r="D81" s="157">
        <f>IF(ISNUMBER(C81),C81-$C$61,"")</f>
        <v/>
      </c>
      <c r="E81" s="134">
        <f>IFERROR((($C$52+$C$53/$C$54*IF(AND($C$59="O",$C$58&gt;0),MAX($C$54,CEILING(($C$60)/$C$58,1)),$C$54)+$C$56*$C$60)/(1-$B81)-$C$57)/$C$60,"")</f>
        <v/>
      </c>
      <c r="F81" s="55">
        <f>IF(ISNUMBER(C81),C81/$C$54,"")</f>
        <v/>
      </c>
      <c r="G81" s="55">
        <f>IF(ISNUMBER(C81),IF(AND($C$59="O",$C$58&gt;0),MAX($C$54,CEILING((C81)/$C$58,1)),$C$54),"")</f>
        <v/>
      </c>
      <c r="H81" s="135">
        <f>IF(AND(ISNUMBER(C81),$C$58&gt;0),C81/($C$58*$C$54),"")</f>
        <v/>
      </c>
      <c r="I81" s="134">
        <f>IF(ISNUMBER(C81),C81*$C$55+$C$57,"")</f>
        <v/>
      </c>
      <c r="J81" s="134">
        <f>IF(ISNUMBER(C81),$C$65+$C$66/$C$54*G81+$C$67/$C$62*C81+$C$63*C81,"")</f>
        <v/>
      </c>
      <c r="K81" s="135">
        <f>IF(ISNUMBER(C81),J81/I81,"")</f>
        <v/>
      </c>
      <c r="L81" s="134">
        <f>IF(ISNUMBER(C81),$C$68+$C$69/$C$54*G81+$C$70/$C$62*C81,"")</f>
        <v/>
      </c>
      <c r="M81" s="135">
        <f>IF(ISNUMBER(C81),L81/I81,"")</f>
        <v/>
      </c>
      <c r="N81" s="135">
        <f>IF(ISNUMBER(C81),$C$71/I81,"")</f>
        <v/>
      </c>
      <c r="O81" s="135">
        <f>IF(ISNUMBER(C81),(I81-J81-L81)/I81,"")</f>
        <v/>
      </c>
      <c r="P81" s="59">
        <f>IF($Q81&lt;=0,"달성 불가",MAX(0,($C$52+$C$53/$C$54*X81-(1-$B81)*($C$57-대조선박_손익!$C$50))/$Q81))</f>
        <v/>
      </c>
      <c r="Q81" s="134">
        <f>(1-$B81)*$C$55-$C$56</f>
        <v/>
      </c>
      <c r="R81" s="55">
        <f>$C$54</f>
        <v/>
      </c>
      <c r="S81" s="55">
        <f>IF($Q81&lt;=0,0,MAX(0,($C$52+$C$53/$C$54*R81-(1-$B81)*$C$57)/$Q81))</f>
        <v/>
      </c>
      <c r="T81" s="55">
        <f>IF(AND($C$59="O",$C$58&gt;0),MAX($C$54,CEILING((S81)/$C$58,1)),$C$54)</f>
        <v/>
      </c>
      <c r="U81" s="55">
        <f>IF($Q81&lt;=0,0,MAX(0,($C$52+$C$53/$C$54*T81-(1-$B81)*$C$57)/$Q81))</f>
        <v/>
      </c>
      <c r="V81" s="55">
        <f>IF(AND($C$59="O",$C$58&gt;0),MAX($C$54,CEILING((U81)/$C$58,1)),$C$54)</f>
        <v/>
      </c>
      <c r="W81" s="55">
        <f>IF($Q81&lt;=0,0,MAX(0,($C$52+$C$53/$C$54*V81-(1-$B81)*$C$57)/$Q81))</f>
        <v/>
      </c>
      <c r="X81" s="55">
        <f>IF(AND($C$59="O",$C$58&gt;0),MAX($C$54,CEILING((W81)/$C$58,1)),$C$54)</f>
        <v/>
      </c>
      <c r="Y81" s="55">
        <f>IF($Q81&lt;=0,0,MAX(0,($C$52+$C$53/$C$54*X81-(1-$B81)*$C$57)/$Q81))</f>
        <v/>
      </c>
    </row>
    <row r="82">
      <c r="B82" s="84" t="n">
        <v>0.03</v>
      </c>
      <c r="C82" s="59">
        <f>IF($Q82&lt;=0,"달성 불가",Y82)</f>
        <v/>
      </c>
      <c r="D82" s="157">
        <f>IF(ISNUMBER(C82),C82-$C$61,"")</f>
        <v/>
      </c>
      <c r="E82" s="134">
        <f>IFERROR((($C$52+$C$53/$C$54*IF(AND($C$59="O",$C$58&gt;0),MAX($C$54,CEILING(($C$60)/$C$58,1)),$C$54)+$C$56*$C$60)/(1-$B82)-$C$57)/$C$60,"")</f>
        <v/>
      </c>
      <c r="F82" s="55">
        <f>IF(ISNUMBER(C82),C82/$C$54,"")</f>
        <v/>
      </c>
      <c r="G82" s="55">
        <f>IF(ISNUMBER(C82),IF(AND($C$59="O",$C$58&gt;0),MAX($C$54,CEILING((C82)/$C$58,1)),$C$54),"")</f>
        <v/>
      </c>
      <c r="H82" s="135">
        <f>IF(AND(ISNUMBER(C82),$C$58&gt;0),C82/($C$58*$C$54),"")</f>
        <v/>
      </c>
      <c r="I82" s="134">
        <f>IF(ISNUMBER(C82),C82*$C$55+$C$57,"")</f>
        <v/>
      </c>
      <c r="J82" s="134">
        <f>IF(ISNUMBER(C82),$C$65+$C$66/$C$54*G82+$C$67/$C$62*C82+$C$63*C82,"")</f>
        <v/>
      </c>
      <c r="K82" s="135">
        <f>IF(ISNUMBER(C82),J82/I82,"")</f>
        <v/>
      </c>
      <c r="L82" s="134">
        <f>IF(ISNUMBER(C82),$C$68+$C$69/$C$54*G82+$C$70/$C$62*C82,"")</f>
        <v/>
      </c>
      <c r="M82" s="135">
        <f>IF(ISNUMBER(C82),L82/I82,"")</f>
        <v/>
      </c>
      <c r="N82" s="135">
        <f>IF(ISNUMBER(C82),$C$71/I82,"")</f>
        <v/>
      </c>
      <c r="O82" s="135">
        <f>IF(ISNUMBER(C82),(I82-J82-L82)/I82,"")</f>
        <v/>
      </c>
      <c r="P82" s="59">
        <f>IF($Q82&lt;=0,"달성 불가",MAX(0,($C$52+$C$53/$C$54*X82-(1-$B82)*($C$57-대조선박_손익!$C$50))/$Q82))</f>
        <v/>
      </c>
      <c r="Q82" s="134">
        <f>(1-$B82)*$C$55-$C$56</f>
        <v/>
      </c>
      <c r="R82" s="55">
        <f>$C$54</f>
        <v/>
      </c>
      <c r="S82" s="55">
        <f>IF($Q82&lt;=0,0,MAX(0,($C$52+$C$53/$C$54*R82-(1-$B82)*$C$57)/$Q82))</f>
        <v/>
      </c>
      <c r="T82" s="55">
        <f>IF(AND($C$59="O",$C$58&gt;0),MAX($C$54,CEILING((S82)/$C$58,1)),$C$54)</f>
        <v/>
      </c>
      <c r="U82" s="55">
        <f>IF($Q82&lt;=0,0,MAX(0,($C$52+$C$53/$C$54*T82-(1-$B82)*$C$57)/$Q82))</f>
        <v/>
      </c>
      <c r="V82" s="55">
        <f>IF(AND($C$59="O",$C$58&gt;0),MAX($C$54,CEILING((U82)/$C$58,1)),$C$54)</f>
        <v/>
      </c>
      <c r="W82" s="55">
        <f>IF($Q82&lt;=0,0,MAX(0,($C$52+$C$53/$C$54*V82-(1-$B82)*$C$57)/$Q82))</f>
        <v/>
      </c>
      <c r="X82" s="55">
        <f>IF(AND($C$59="O",$C$58&gt;0),MAX($C$54,CEILING((W82)/$C$58,1)),$C$54)</f>
        <v/>
      </c>
      <c r="Y82" s="55">
        <f>IF($Q82&lt;=0,0,MAX(0,($C$52+$C$53/$C$54*X82-(1-$B82)*$C$57)/$Q82))</f>
        <v/>
      </c>
    </row>
    <row r="83">
      <c r="B83" s="84" t="n">
        <v>0.05</v>
      </c>
      <c r="C83" s="59">
        <f>IF($Q83&lt;=0,"달성 불가",Y83)</f>
        <v/>
      </c>
      <c r="D83" s="157">
        <f>IF(ISNUMBER(C83),C83-$C$61,"")</f>
        <v/>
      </c>
      <c r="E83" s="134">
        <f>IFERROR((($C$52+$C$53/$C$54*IF(AND($C$59="O",$C$58&gt;0),MAX($C$54,CEILING(($C$60)/$C$58,1)),$C$54)+$C$56*$C$60)/(1-$B83)-$C$57)/$C$60,"")</f>
        <v/>
      </c>
      <c r="F83" s="55">
        <f>IF(ISNUMBER(C83),C83/$C$54,"")</f>
        <v/>
      </c>
      <c r="G83" s="55">
        <f>IF(ISNUMBER(C83),IF(AND($C$59="O",$C$58&gt;0),MAX($C$54,CEILING((C83)/$C$58,1)),$C$54),"")</f>
        <v/>
      </c>
      <c r="H83" s="135">
        <f>IF(AND(ISNUMBER(C83),$C$58&gt;0),C83/($C$58*$C$54),"")</f>
        <v/>
      </c>
      <c r="I83" s="134">
        <f>IF(ISNUMBER(C83),C83*$C$55+$C$57,"")</f>
        <v/>
      </c>
      <c r="J83" s="134">
        <f>IF(ISNUMBER(C83),$C$65+$C$66/$C$54*G83+$C$67/$C$62*C83+$C$63*C83,"")</f>
        <v/>
      </c>
      <c r="K83" s="135">
        <f>IF(ISNUMBER(C83),J83/I83,"")</f>
        <v/>
      </c>
      <c r="L83" s="134">
        <f>IF(ISNUMBER(C83),$C$68+$C$69/$C$54*G83+$C$70/$C$62*C83,"")</f>
        <v/>
      </c>
      <c r="M83" s="135">
        <f>IF(ISNUMBER(C83),L83/I83,"")</f>
        <v/>
      </c>
      <c r="N83" s="135">
        <f>IF(ISNUMBER(C83),$C$71/I83,"")</f>
        <v/>
      </c>
      <c r="O83" s="135">
        <f>IF(ISNUMBER(C83),(I83-J83-L83)/I83,"")</f>
        <v/>
      </c>
      <c r="P83" s="59">
        <f>IF($Q83&lt;=0,"달성 불가",MAX(0,($C$52+$C$53/$C$54*X83-(1-$B83)*($C$57-대조선박_손익!$C$50))/$Q83))</f>
        <v/>
      </c>
      <c r="Q83" s="134">
        <f>(1-$B83)*$C$55-$C$56</f>
        <v/>
      </c>
      <c r="R83" s="55">
        <f>$C$54</f>
        <v/>
      </c>
      <c r="S83" s="55">
        <f>IF($Q83&lt;=0,0,MAX(0,($C$52+$C$53/$C$54*R83-(1-$B83)*$C$57)/$Q83))</f>
        <v/>
      </c>
      <c r="T83" s="55">
        <f>IF(AND($C$59="O",$C$58&gt;0),MAX($C$54,CEILING((S83)/$C$58,1)),$C$54)</f>
        <v/>
      </c>
      <c r="U83" s="55">
        <f>IF($Q83&lt;=0,0,MAX(0,($C$52+$C$53/$C$54*T83-(1-$B83)*$C$57)/$Q83))</f>
        <v/>
      </c>
      <c r="V83" s="55">
        <f>IF(AND($C$59="O",$C$58&gt;0),MAX($C$54,CEILING((U83)/$C$58,1)),$C$54)</f>
        <v/>
      </c>
      <c r="W83" s="55">
        <f>IF($Q83&lt;=0,0,MAX(0,($C$52+$C$53/$C$54*V83-(1-$B83)*$C$57)/$Q83))</f>
        <v/>
      </c>
      <c r="X83" s="55">
        <f>IF(AND($C$59="O",$C$58&gt;0),MAX($C$54,CEILING((W83)/$C$58,1)),$C$54)</f>
        <v/>
      </c>
      <c r="Y83" s="55">
        <f>IF($Q83&lt;=0,0,MAX(0,($C$52+$C$53/$C$54*X83-(1-$B83)*$C$57)/$Q83))</f>
        <v/>
      </c>
    </row>
    <row r="84">
      <c r="B84" s="84" t="n">
        <v>0.08</v>
      </c>
      <c r="C84" s="59">
        <f>IF($Q84&lt;=0,"달성 불가",Y84)</f>
        <v/>
      </c>
      <c r="D84" s="157">
        <f>IF(ISNUMBER(C84),C84-$C$61,"")</f>
        <v/>
      </c>
      <c r="E84" s="134">
        <f>IFERROR((($C$52+$C$53/$C$54*IF(AND($C$59="O",$C$58&gt;0),MAX($C$54,CEILING(($C$60)/$C$58,1)),$C$54)+$C$56*$C$60)/(1-$B84)-$C$57)/$C$60,"")</f>
        <v/>
      </c>
      <c r="F84" s="55">
        <f>IF(ISNUMBER(C84),C84/$C$54,"")</f>
        <v/>
      </c>
      <c r="G84" s="55">
        <f>IF(ISNUMBER(C84),IF(AND($C$59="O",$C$58&gt;0),MAX($C$54,CEILING((C84)/$C$58,1)),$C$54),"")</f>
        <v/>
      </c>
      <c r="H84" s="135">
        <f>IF(AND(ISNUMBER(C84),$C$58&gt;0),C84/($C$58*$C$54),"")</f>
        <v/>
      </c>
      <c r="I84" s="134">
        <f>IF(ISNUMBER(C84),C84*$C$55+$C$57,"")</f>
        <v/>
      </c>
      <c r="J84" s="134">
        <f>IF(ISNUMBER(C84),$C$65+$C$66/$C$54*G84+$C$67/$C$62*C84+$C$63*C84,"")</f>
        <v/>
      </c>
      <c r="K84" s="135">
        <f>IF(ISNUMBER(C84),J84/I84,"")</f>
        <v/>
      </c>
      <c r="L84" s="134">
        <f>IF(ISNUMBER(C84),$C$68+$C$69/$C$54*G84+$C$70/$C$62*C84,"")</f>
        <v/>
      </c>
      <c r="M84" s="135">
        <f>IF(ISNUMBER(C84),L84/I84,"")</f>
        <v/>
      </c>
      <c r="N84" s="135">
        <f>IF(ISNUMBER(C84),$C$71/I84,"")</f>
        <v/>
      </c>
      <c r="O84" s="135">
        <f>IF(ISNUMBER(C84),(I84-J84-L84)/I84,"")</f>
        <v/>
      </c>
      <c r="P84" s="59">
        <f>IF($Q84&lt;=0,"달성 불가",MAX(0,($C$52+$C$53/$C$54*X84-(1-$B84)*($C$57-대조선박_손익!$C$50))/$Q84))</f>
        <v/>
      </c>
      <c r="Q84" s="134">
        <f>(1-$B84)*$C$55-$C$56</f>
        <v/>
      </c>
      <c r="R84" s="55">
        <f>$C$54</f>
        <v/>
      </c>
      <c r="S84" s="55">
        <f>IF($Q84&lt;=0,0,MAX(0,($C$52+$C$53/$C$54*R84-(1-$B84)*$C$57)/$Q84))</f>
        <v/>
      </c>
      <c r="T84" s="55">
        <f>IF(AND($C$59="O",$C$58&gt;0),MAX($C$54,CEILING((S84)/$C$58,1)),$C$54)</f>
        <v/>
      </c>
      <c r="U84" s="55">
        <f>IF($Q84&lt;=0,0,MAX(0,($C$52+$C$53/$C$54*T84-(1-$B84)*$C$57)/$Q84))</f>
        <v/>
      </c>
      <c r="V84" s="55">
        <f>IF(AND($C$59="O",$C$58&gt;0),MAX($C$54,CEILING((U84)/$C$58,1)),$C$54)</f>
        <v/>
      </c>
      <c r="W84" s="55">
        <f>IF($Q84&lt;=0,0,MAX(0,($C$52+$C$53/$C$54*V84-(1-$B84)*$C$57)/$Q84))</f>
        <v/>
      </c>
      <c r="X84" s="55">
        <f>IF(AND($C$59="O",$C$58&gt;0),MAX($C$54,CEILING((W84)/$C$58,1)),$C$54)</f>
        <v/>
      </c>
      <c r="Y84" s="55">
        <f>IF($Q84&lt;=0,0,MAX(0,($C$52+$C$53/$C$54*X84-(1-$B84)*$C$57)/$Q84))</f>
        <v/>
      </c>
    </row>
    <row r="85">
      <c r="B85" s="84" t="n">
        <v>0.1</v>
      </c>
      <c r="C85" s="59">
        <f>IF($Q85&lt;=0,"달성 불가",Y85)</f>
        <v/>
      </c>
      <c r="D85" s="157">
        <f>IF(ISNUMBER(C85),C85-$C$61,"")</f>
        <v/>
      </c>
      <c r="E85" s="134">
        <f>IFERROR((($C$52+$C$53/$C$54*IF(AND($C$59="O",$C$58&gt;0),MAX($C$54,CEILING(($C$60)/$C$58,1)),$C$54)+$C$56*$C$60)/(1-$B85)-$C$57)/$C$60,"")</f>
        <v/>
      </c>
      <c r="F85" s="55">
        <f>IF(ISNUMBER(C85),C85/$C$54,"")</f>
        <v/>
      </c>
      <c r="G85" s="55">
        <f>IF(ISNUMBER(C85),IF(AND($C$59="O",$C$58&gt;0),MAX($C$54,CEILING((C85)/$C$58,1)),$C$54),"")</f>
        <v/>
      </c>
      <c r="H85" s="135">
        <f>IF(AND(ISNUMBER(C85),$C$58&gt;0),C85/($C$58*$C$54),"")</f>
        <v/>
      </c>
      <c r="I85" s="134">
        <f>IF(ISNUMBER(C85),C85*$C$55+$C$57,"")</f>
        <v/>
      </c>
      <c r="J85" s="134">
        <f>IF(ISNUMBER(C85),$C$65+$C$66/$C$54*G85+$C$67/$C$62*C85+$C$63*C85,"")</f>
        <v/>
      </c>
      <c r="K85" s="135">
        <f>IF(ISNUMBER(C85),J85/I85,"")</f>
        <v/>
      </c>
      <c r="L85" s="134">
        <f>IF(ISNUMBER(C85),$C$68+$C$69/$C$54*G85+$C$70/$C$62*C85,"")</f>
        <v/>
      </c>
      <c r="M85" s="135">
        <f>IF(ISNUMBER(C85),L85/I85,"")</f>
        <v/>
      </c>
      <c r="N85" s="135">
        <f>IF(ISNUMBER(C85),$C$71/I85,"")</f>
        <v/>
      </c>
      <c r="O85" s="135">
        <f>IF(ISNUMBER(C85),(I85-J85-L85)/I85,"")</f>
        <v/>
      </c>
      <c r="P85" s="59">
        <f>IF($Q85&lt;=0,"달성 불가",MAX(0,($C$52+$C$53/$C$54*X85-(1-$B85)*($C$57-대조선박_손익!$C$50))/$Q85))</f>
        <v/>
      </c>
      <c r="Q85" s="134">
        <f>(1-$B85)*$C$55-$C$56</f>
        <v/>
      </c>
      <c r="R85" s="55">
        <f>$C$54</f>
        <v/>
      </c>
      <c r="S85" s="55">
        <f>IF($Q85&lt;=0,0,MAX(0,($C$52+$C$53/$C$54*R85-(1-$B85)*$C$57)/$Q85))</f>
        <v/>
      </c>
      <c r="T85" s="55">
        <f>IF(AND($C$59="O",$C$58&gt;0),MAX($C$54,CEILING((S85)/$C$58,1)),$C$54)</f>
        <v/>
      </c>
      <c r="U85" s="55">
        <f>IF($Q85&lt;=0,0,MAX(0,($C$52+$C$53/$C$54*T85-(1-$B85)*$C$57)/$Q85))</f>
        <v/>
      </c>
      <c r="V85" s="55">
        <f>IF(AND($C$59="O",$C$58&gt;0),MAX($C$54,CEILING((U85)/$C$58,1)),$C$54)</f>
        <v/>
      </c>
      <c r="W85" s="55">
        <f>IF($Q85&lt;=0,0,MAX(0,($C$52+$C$53/$C$54*V85-(1-$B85)*$C$57)/$Q85))</f>
        <v/>
      </c>
      <c r="X85" s="55">
        <f>IF(AND($C$59="O",$C$58&gt;0),MAX($C$54,CEILING((W85)/$C$58,1)),$C$54)</f>
        <v/>
      </c>
      <c r="Y85" s="55">
        <f>IF($Q85&lt;=0,0,MAX(0,($C$52+$C$53/$C$54*X85-(1-$B85)*$C$57)/$Q85))</f>
        <v/>
      </c>
    </row>
    <row r="86">
      <c r="B86" s="84" t="n">
        <v>0.15</v>
      </c>
      <c r="C86" s="59">
        <f>IF($Q86&lt;=0,"달성 불가",Y86)</f>
        <v/>
      </c>
      <c r="D86" s="157">
        <f>IF(ISNUMBER(C86),C86-$C$61,"")</f>
        <v/>
      </c>
      <c r="E86" s="134">
        <f>IFERROR((($C$52+$C$53/$C$54*IF(AND($C$59="O",$C$58&gt;0),MAX($C$54,CEILING(($C$60)/$C$58,1)),$C$54)+$C$56*$C$60)/(1-$B86)-$C$57)/$C$60,"")</f>
        <v/>
      </c>
      <c r="F86" s="55">
        <f>IF(ISNUMBER(C86),C86/$C$54,"")</f>
        <v/>
      </c>
      <c r="G86" s="55">
        <f>IF(ISNUMBER(C86),IF(AND($C$59="O",$C$58&gt;0),MAX($C$54,CEILING((C86)/$C$58,1)),$C$54),"")</f>
        <v/>
      </c>
      <c r="H86" s="135">
        <f>IF(AND(ISNUMBER(C86),$C$58&gt;0),C86/($C$58*$C$54),"")</f>
        <v/>
      </c>
      <c r="I86" s="134">
        <f>IF(ISNUMBER(C86),C86*$C$55+$C$57,"")</f>
        <v/>
      </c>
      <c r="J86" s="134">
        <f>IF(ISNUMBER(C86),$C$65+$C$66/$C$54*G86+$C$67/$C$62*C86+$C$63*C86,"")</f>
        <v/>
      </c>
      <c r="K86" s="135">
        <f>IF(ISNUMBER(C86),J86/I86,"")</f>
        <v/>
      </c>
      <c r="L86" s="134">
        <f>IF(ISNUMBER(C86),$C$68+$C$69/$C$54*G86+$C$70/$C$62*C86,"")</f>
        <v/>
      </c>
      <c r="M86" s="135">
        <f>IF(ISNUMBER(C86),L86/I86,"")</f>
        <v/>
      </c>
      <c r="N86" s="135">
        <f>IF(ISNUMBER(C86),$C$71/I86,"")</f>
        <v/>
      </c>
      <c r="O86" s="135">
        <f>IF(ISNUMBER(C86),(I86-J86-L86)/I86,"")</f>
        <v/>
      </c>
      <c r="P86" s="59">
        <f>IF($Q86&lt;=0,"달성 불가",MAX(0,($C$52+$C$53/$C$54*X86-(1-$B86)*($C$57-대조선박_손익!$C$50))/$Q86))</f>
        <v/>
      </c>
      <c r="Q86" s="134">
        <f>(1-$B86)*$C$55-$C$56</f>
        <v/>
      </c>
      <c r="R86" s="55">
        <f>$C$54</f>
        <v/>
      </c>
      <c r="S86" s="55">
        <f>IF($Q86&lt;=0,0,MAX(0,($C$52+$C$53/$C$54*R86-(1-$B86)*$C$57)/$Q86))</f>
        <v/>
      </c>
      <c r="T86" s="55">
        <f>IF(AND($C$59="O",$C$58&gt;0),MAX($C$54,CEILING((S86)/$C$58,1)),$C$54)</f>
        <v/>
      </c>
      <c r="U86" s="55">
        <f>IF($Q86&lt;=0,0,MAX(0,($C$52+$C$53/$C$54*T86-(1-$B86)*$C$57)/$Q86))</f>
        <v/>
      </c>
      <c r="V86" s="55">
        <f>IF(AND($C$59="O",$C$58&gt;0),MAX($C$54,CEILING((U86)/$C$58,1)),$C$54)</f>
        <v/>
      </c>
      <c r="W86" s="55">
        <f>IF($Q86&lt;=0,0,MAX(0,($C$52+$C$53/$C$54*V86-(1-$B86)*$C$57)/$Q86))</f>
        <v/>
      </c>
      <c r="X86" s="55">
        <f>IF(AND($C$59="O",$C$58&gt;0),MAX($C$54,CEILING((W86)/$C$58,1)),$C$54)</f>
        <v/>
      </c>
      <c r="Y86" s="55">
        <f>IF($Q86&lt;=0,0,MAX(0,($C$52+$C$53/$C$54*X86-(1-$B86)*$C$57)/$Q86))</f>
        <v/>
      </c>
    </row>
    <row r="87">
      <c r="B87" s="158">
        <f>$C$64</f>
        <v/>
      </c>
      <c r="C87" s="67">
        <f>IF($Q87&lt;=0,"달성 불가",Y87)</f>
        <v/>
      </c>
      <c r="D87" s="159">
        <f>IF(ISNUMBER(C87),C87-$C$61,"")</f>
        <v/>
      </c>
      <c r="E87" s="138">
        <f>IFERROR((($C$52+$C$53/$C$54*IF(AND($C$59="O",$C$58&gt;0),MAX($C$54,CEILING(($C$60)/$C$58,1)),$C$54)+$C$56*$C$60)/(1-$B87)-$C$57)/$C$60,"")</f>
        <v/>
      </c>
      <c r="F87" s="28">
        <f>IF(ISNUMBER(C87),C87/$C$54,"")</f>
        <v/>
      </c>
      <c r="G87" s="28">
        <f>IF(ISNUMBER(C87),IF(AND($C$59="O",$C$58&gt;0),MAX($C$54,CEILING((C87)/$C$58,1)),$C$54),"")</f>
        <v/>
      </c>
      <c r="H87" s="137">
        <f>IF(AND(ISNUMBER(C87),$C$58&gt;0),C87/($C$58*$C$54),"")</f>
        <v/>
      </c>
      <c r="I87" s="138">
        <f>IF(ISNUMBER(C87),C87*$C$55+$C$57,"")</f>
        <v/>
      </c>
      <c r="J87" s="138">
        <f>IF(ISNUMBER(C87),$C$65+$C$66/$C$54*G87+$C$67/$C$62*C87+$C$63*C87,"")</f>
        <v/>
      </c>
      <c r="K87" s="137">
        <f>IF(ISNUMBER(C87),J87/I87,"")</f>
        <v/>
      </c>
      <c r="L87" s="138">
        <f>IF(ISNUMBER(C87),$C$68+$C$69/$C$54*G87+$C$70/$C$62*C87,"")</f>
        <v/>
      </c>
      <c r="M87" s="137">
        <f>IF(ISNUMBER(C87),L87/I87,"")</f>
        <v/>
      </c>
      <c r="N87" s="137">
        <f>IF(ISNUMBER(C87),$C$71/I87,"")</f>
        <v/>
      </c>
      <c r="O87" s="137">
        <f>IF(ISNUMBER(C87),(I87-J87-L87)/I87,"")</f>
        <v/>
      </c>
      <c r="P87" s="59">
        <f>IF($Q87&lt;=0,"달성 불가",MAX(0,($C$52+$C$53/$C$54*X87-(1-$B87)*($C$57-대조선박_손익!$C$50))/$Q87))</f>
        <v/>
      </c>
      <c r="Q87" s="134">
        <f>(1-$B87)*$C$55-$C$56</f>
        <v/>
      </c>
      <c r="R87" s="55">
        <f>$C$54</f>
        <v/>
      </c>
      <c r="S87" s="55">
        <f>IF($Q87&lt;=0,0,MAX(0,($C$52+$C$53/$C$54*R87-(1-$B87)*$C$57)/$Q87))</f>
        <v/>
      </c>
      <c r="T87" s="55">
        <f>IF(AND($C$59="O",$C$58&gt;0),MAX($C$54,CEILING((S87)/$C$58,1)),$C$54)</f>
        <v/>
      </c>
      <c r="U87" s="55">
        <f>IF($Q87&lt;=0,0,MAX(0,($C$52+$C$53/$C$54*T87-(1-$B87)*$C$57)/$Q87))</f>
        <v/>
      </c>
      <c r="V87" s="55">
        <f>IF(AND($C$59="O",$C$58&gt;0),MAX($C$54,CEILING((U87)/$C$58,1)),$C$54)</f>
        <v/>
      </c>
      <c r="W87" s="55">
        <f>IF($Q87&lt;=0,0,MAX(0,($C$52+$C$53/$C$54*V87-(1-$B87)*$C$57)/$Q87))</f>
        <v/>
      </c>
      <c r="X87" s="55">
        <f>IF(AND($C$59="O",$C$58&gt;0),MAX($C$54,CEILING((W87)/$C$58,1)),$C$54)</f>
        <v/>
      </c>
      <c r="Y87" s="55">
        <f>IF($Q87&lt;=0,0,MAX(0,($C$52+$C$53/$C$54*X87-(1-$B87)*$C$57)/$Q87))</f>
        <v/>
      </c>
    </row>
    <row r="88">
      <c r="B88" s="3" t="inlineStr">
        <is>
          <t>필요 운임 = ((F + SV·항차(Q현재) + v·Q현재) ÷ (1−r) − O) ÷ Q현재 · 운항원가·판관비는 원가 구성표의 포함·성격을 따라 승객수로 다시 세운 값 · 영업이익률(검증) = 목표값과 같아야 한다</t>
        </is>
      </c>
      <c r="P88" s="3" t="inlineStr">
        <is>
          <t>화물 제외 = 화물 시뮬레이션 수입을 뺀 O 로 다시 푼 필요 승객수. 대조 선박은 화물이 매출의 12%라 화물이 빠지면 필요 승객수가 크게 뛴다.</t>
        </is>
      </c>
    </row>
    <row r="90">
      <c r="B90" s="122" t="inlineStr">
        <is>
          <t>설정 목표 기준</t>
        </is>
      </c>
      <c r="C90" s="122" t="inlineStr">
        <is>
          <t>값</t>
        </is>
      </c>
      <c r="D90" s="122" t="inlineStr">
        <is>
          <t>비교</t>
        </is>
      </c>
    </row>
    <row r="91">
      <c r="B91" s="50" t="inlineStr">
        <is>
          <t>필요 승객수</t>
        </is>
      </c>
      <c r="C91" s="67">
        <f>C87</f>
        <v/>
      </c>
      <c r="D91" s="3">
        <f>IF(ISNUMBER(C87),"현재 "&amp;TEXT($C$61,"#,##0")&amp;"명 대비 "&amp;TEXT(C87/$C$61-1,"+0.0%;-0.0%"),"운임 ≤ 변동비")</f>
        <v/>
      </c>
    </row>
    <row r="92">
      <c r="B92" s="50" t="inlineStr">
        <is>
          <t>필요 운임</t>
        </is>
      </c>
      <c r="C92" s="136">
        <f>E87</f>
        <v/>
      </c>
      <c r="D92" s="3">
        <f>"승객 "&amp;TEXT($C$60,"#,##0")&amp;"명 고정 시 · 현재 대비 "&amp;TEXT(E87/$C$55-1,"+0.0%;-0.0%")</f>
        <v/>
      </c>
    </row>
    <row r="93">
      <c r="B93" s="50" t="inlineStr">
        <is>
          <t>필요 매출액</t>
        </is>
      </c>
      <c r="C93" s="136">
        <f>I87</f>
        <v/>
      </c>
      <c r="D93" s="3">
        <f>IF(ISNUMBER(I87),"현재 설정 "&amp;TEXT($C$75/1000000,"#,##0")&amp;"백만 대비 "&amp;TEXT(I87/$C$75-1,"+0.0%;-0.0%"),"")</f>
        <v/>
      </c>
    </row>
    <row r="94">
      <c r="B94" s="50" t="inlineStr">
        <is>
          <t>허용 총비용</t>
        </is>
      </c>
      <c r="C94" s="136">
        <f>IF(ISNUMBER(C87),J87+L87,"")</f>
        <v/>
      </c>
      <c r="D94" s="3">
        <f>IF(ISNUMBER(C87),"영업이익 "&amp;TEXT((I87-J87-L87)/1000000,"#,##0")&amp;"백만 확보","")</f>
        <v/>
      </c>
    </row>
    <row r="96" ht="16.5" customHeight="1">
      <c r="B96" s="24" t="inlineStr">
        <is>
          <t>C. 비교선 — 실적 2024 (대저페리 3기)</t>
        </is>
      </c>
    </row>
    <row r="97" ht="25.5" customHeight="1">
      <c r="B97" s="122" t="inlineStr">
        <is>
          <t>구분</t>
        </is>
      </c>
      <c r="C97" s="122" t="inlineStr">
        <is>
          <t>매출액</t>
        </is>
      </c>
      <c r="D97" s="122" t="inlineStr">
        <is>
          <t>운항원가</t>
        </is>
      </c>
      <c r="E97" s="122" t="inlineStr">
        <is>
          <t>운항원가율</t>
        </is>
      </c>
      <c r="F97" s="122" t="inlineStr">
        <is>
          <t>판관비</t>
        </is>
      </c>
      <c r="G97" s="122" t="inlineStr">
        <is>
          <t>판관비율</t>
        </is>
      </c>
      <c r="H97" s="122" t="inlineStr">
        <is>
          <t>전사 인건비율</t>
        </is>
      </c>
      <c r="I97" s="122" t="inlineStr">
        <is>
          <t>영업이익률</t>
        </is>
      </c>
    </row>
    <row r="98">
      <c r="B98" s="50" t="inlineStr">
        <is>
          <t>실적 2024</t>
        </is>
      </c>
      <c r="C98" s="134">
        <f>원가구조_기준!$C$7</f>
        <v/>
      </c>
      <c r="D98" s="134">
        <f>원가구조_기준!$C$11</f>
        <v/>
      </c>
      <c r="E98" s="135">
        <f>D98/C98</f>
        <v/>
      </c>
      <c r="F98" s="134">
        <f>원가구조_기준!$C$12</f>
        <v/>
      </c>
      <c r="G98" s="135">
        <f>F98/C98</f>
        <v/>
      </c>
      <c r="H98" s="135">
        <f>원가구조_기준!$C$21/C98</f>
        <v/>
      </c>
      <c r="I98" s="160">
        <f>원가구조_기준!$C$13/C98</f>
        <v/>
      </c>
    </row>
    <row r="99">
      <c r="B99" s="50" t="inlineStr">
        <is>
          <t>대조 — 현재 설정</t>
        </is>
      </c>
      <c r="C99" s="134">
        <f>대조선박_손익!$C$48</f>
        <v/>
      </c>
      <c r="D99" s="134">
        <f>대조선박_손익!$C$52</f>
        <v/>
      </c>
      <c r="E99" s="135">
        <f>D99/C99</f>
        <v/>
      </c>
      <c r="F99" s="134">
        <f>대조선박_손익!$C$66</f>
        <v/>
      </c>
      <c r="G99" s="135">
        <f>F99/C99</f>
        <v/>
      </c>
      <c r="H99" s="135">
        <f>(대조선박_손익!$C$34+대조선박_손익!$C$35)/C99</f>
        <v/>
      </c>
      <c r="I99" s="147">
        <f>IFERROR((대조선박_손익!$C$87)/C99,0)</f>
        <v/>
      </c>
    </row>
    <row r="100">
      <c r="B100" s="3" t="inlineStr">
        <is>
          <t>대조 현재 설정 행은 대조선박_손익 시트의 손익계산서 값 (전 항목 포함 기준).</t>
        </is>
      </c>
    </row>
  </sheetData>
  <mergeCells count="2">
    <mergeCell ref="D51:H51"/>
    <mergeCell ref="D5:H5"/>
  </mergeCells>
  <pageMargins left="0.75" right="0.75" top="1" bottom="1" header="0.511811023622047" footer="0.511811023622047"/>
  <pageSetup orientation="landscape" fitToHeight="0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B1:J32"/>
  <sheetViews>
    <sheetView zoomScale="85" zoomScaleNormal="85" workbookViewId="0">
      <selection activeCell="C15" sqref="C15"/>
    </sheetView>
  </sheetViews>
  <sheetFormatPr baseColWidth="8" defaultColWidth="8.7109375" defaultRowHeight="15"/>
  <cols>
    <col width="2" customWidth="1" min="1" max="1"/>
    <col width="14" customWidth="1" min="2" max="5"/>
    <col width="3" customWidth="1" min="6" max="6"/>
    <col width="14" customWidth="1" min="7" max="10"/>
  </cols>
  <sheetData>
    <row r="1" ht="26.25" customHeight="1">
      <c r="B1" s="2" t="inlineStr">
        <is>
          <t>승객수–손익 구조 (CVP)</t>
        </is>
      </c>
    </row>
    <row r="2">
      <c r="B2" s="3" t="inlineStr">
        <is>
          <t>가로축 승객수 · 세로축 금액(백만원) · 매출선과 총비용선이 만나는 자리가 손익분기</t>
        </is>
      </c>
    </row>
    <row r="4" ht="16.5" customHeight="1">
      <c r="B4" s="24" t="inlineStr">
        <is>
          <t>A. 참조 — 대저페리 3기</t>
        </is>
      </c>
      <c r="G4" s="24" t="inlineStr">
        <is>
          <t>B. 대조 선박</t>
        </is>
      </c>
    </row>
    <row r="5">
      <c r="B5" s="122" t="inlineStr">
        <is>
          <t>표시점</t>
        </is>
      </c>
      <c r="C5" s="122" t="inlineStr">
        <is>
          <t>승객수</t>
        </is>
      </c>
      <c r="D5" s="122" t="inlineStr">
        <is>
          <t>매출(백만)</t>
        </is>
      </c>
      <c r="E5" s="122" t="inlineStr">
        <is>
          <t>총비용(백만)</t>
        </is>
      </c>
      <c r="G5" s="122" t="inlineStr">
        <is>
          <t>표시점</t>
        </is>
      </c>
      <c r="H5" s="122" t="inlineStr">
        <is>
          <t>승객수</t>
        </is>
      </c>
      <c r="I5" s="122" t="inlineStr">
        <is>
          <t>매출(백만)</t>
        </is>
      </c>
      <c r="J5" s="122" t="inlineStr">
        <is>
          <t>총비용(백만)</t>
        </is>
      </c>
    </row>
    <row r="6">
      <c r="B6" s="11" t="inlineStr">
        <is>
          <t>손익분기</t>
        </is>
      </c>
      <c r="C6" s="55">
        <f>IF(ISNUMBER(목표이익률_지표!$C$35),목표이익률_지표!$C$35,"")</f>
        <v/>
      </c>
      <c r="D6" s="134">
        <f>IF(ISNUMBER(C6),(C6*목표이익률_지표!$C$9+목표이익률_지표!$C$11)/1000000,"")</f>
        <v/>
      </c>
      <c r="E6" s="134">
        <f>IF(ISNUMBER(C6),(목표이익률_지표!$C$6+목표이익률_지표!$C$7/목표이익률_지표!$C$8*IF(AND(목표이익률_지표!$C$13="O",목표이익률_지표!$C$12&gt;0),MAX(목표이익률_지표!$C$8,CEILING(C6/목표이익률_지표!$C$12,1)),목표이익률_지표!$C$8)+목표이익률_지표!$C$10*C6)/1000000,"")</f>
        <v/>
      </c>
      <c r="G6" s="11" t="inlineStr">
        <is>
          <t>손익분기</t>
        </is>
      </c>
      <c r="H6" s="55">
        <f>IF(ISNUMBER(목표이익률_지표!$C$81),목표이익률_지표!$C$81,"")</f>
        <v/>
      </c>
      <c r="I6" s="134">
        <f>IF(ISNUMBER(H6),(H6*목표이익률_지표!$C$55+목표이익률_지표!$C$57)/1000000,"")</f>
        <v/>
      </c>
      <c r="J6" s="134">
        <f>IF(ISNUMBER(H6),(목표이익률_지표!$C$52+목표이익률_지표!$C$53/목표이익률_지표!$C$54*IF(AND(목표이익률_지표!$C$59="O",목표이익률_지표!$C$58&gt;0),MAX(목표이익률_지표!$C$54,CEILING(H6/목표이익률_지표!$C$58,1)),목표이익률_지표!$C$54)+목표이익률_지표!$C$56*H6)/1000000,"")</f>
        <v/>
      </c>
    </row>
    <row r="7">
      <c r="B7" s="11" t="inlineStr">
        <is>
          <t>목표 도달</t>
        </is>
      </c>
      <c r="C7" s="55">
        <f>IF(ISNUMBER(목표이익률_지표!$C$41),목표이익률_지표!$C$41,"")</f>
        <v/>
      </c>
      <c r="D7" s="134">
        <f>IF(ISNUMBER(C7),(C7*목표이익률_지표!$C$9+목표이익률_지표!$C$11)/1000000,"")</f>
        <v/>
      </c>
      <c r="E7" s="134">
        <f>IF(ISNUMBER(C7),(목표이익률_지표!$C$6+목표이익률_지표!$C$7/목표이익률_지표!$C$8*IF(AND(목표이익률_지표!$C$13="O",목표이익률_지표!$C$12&gt;0),MAX(목표이익률_지표!$C$8,CEILING(C7/목표이익률_지표!$C$12,1)),목표이익률_지표!$C$8)+목표이익률_지표!$C$10*C7)/1000000,"")</f>
        <v/>
      </c>
      <c r="G7" s="11" t="inlineStr">
        <is>
          <t>목표 도달</t>
        </is>
      </c>
      <c r="H7" s="55">
        <f>IF(ISNUMBER(목표이익률_지표!$C$87),목표이익률_지표!$C$87,"")</f>
        <v/>
      </c>
      <c r="I7" s="134">
        <f>IF(ISNUMBER(H7),(H7*목표이익률_지표!$C$55+목표이익률_지표!$C$57)/1000000,"")</f>
        <v/>
      </c>
      <c r="J7" s="134">
        <f>IF(ISNUMBER(H7),(목표이익률_지표!$C$52+목표이익률_지표!$C$53/목표이익률_지표!$C$54*IF(AND(목표이익률_지표!$C$59="O",목표이익률_지표!$C$58&gt;0),MAX(목표이익률_지표!$C$54,CEILING(H7/목표이익률_지표!$C$58,1)),목표이익률_지표!$C$54)+목표이익률_지표!$C$56*H7)/1000000,"")</f>
        <v/>
      </c>
    </row>
    <row r="8">
      <c r="B8" s="11" t="inlineStr">
        <is>
          <t>현재/실적</t>
        </is>
      </c>
      <c r="C8" s="55">
        <f>IF(ISNUMBER(목표이익률_지표!$C$15),목표이익률_지표!$C$15,"")</f>
        <v/>
      </c>
      <c r="D8" s="134">
        <f>IF(ISNUMBER(C8),(C8*목표이익률_지표!$C$9+목표이익률_지표!$C$11)/1000000,"")</f>
        <v/>
      </c>
      <c r="E8" s="134">
        <f>IF(ISNUMBER(C8),(목표이익률_지표!$C$6+목표이익률_지표!$C$7/목표이익률_지표!$C$8*IF(AND(목표이익률_지표!$C$13="O",목표이익률_지표!$C$12&gt;0),MAX(목표이익률_지표!$C$8,CEILING(C8/목표이익률_지표!$C$12,1)),목표이익률_지표!$C$8)+목표이익률_지표!$C$10*C8)/1000000,"")</f>
        <v/>
      </c>
      <c r="G8" s="11" t="inlineStr">
        <is>
          <t>현재/실적</t>
        </is>
      </c>
      <c r="H8" s="55">
        <f>IF(ISNUMBER(목표이익률_지표!$C$61),목표이익률_지표!$C$61,"")</f>
        <v/>
      </c>
      <c r="I8" s="134">
        <f>IF(ISNUMBER(H8),(H8*목표이익률_지표!$C$55+목표이익률_지표!$C$57)/1000000,"")</f>
        <v/>
      </c>
      <c r="J8" s="134">
        <f>IF(ISNUMBER(H8),(목표이익률_지표!$C$52+목표이익률_지표!$C$53/목표이익률_지표!$C$54*IF(AND(목표이익률_지표!$C$59="O",목표이익률_지표!$C$58&gt;0),MAX(목표이익률_지표!$C$54,CEILING(H8/목표이익률_지표!$C$58,1)),목표이익률_지표!$C$54)+목표이익률_지표!$C$56*H8)/1000000,"")</f>
        <v/>
      </c>
    </row>
    <row r="9">
      <c r="B9" s="11" t="inlineStr">
        <is>
          <t>가로축 최대</t>
        </is>
      </c>
      <c r="C9" s="55">
        <f>MAX(C6:C8,목표이익률_지표!$C$14,1)*1.25</f>
        <v/>
      </c>
      <c r="G9" s="11" t="inlineStr">
        <is>
          <t>가로축 최대</t>
        </is>
      </c>
      <c r="H9" s="55">
        <f>MAX(H6:H8,목표이익률_지표!$C$60,1)*1.25</f>
        <v/>
      </c>
    </row>
    <row r="11">
      <c r="B11" s="122" t="inlineStr">
        <is>
          <t>승객수</t>
        </is>
      </c>
      <c r="C11" s="122" t="inlineStr">
        <is>
          <t>매출액</t>
        </is>
      </c>
      <c r="D11" s="122" t="inlineStr">
        <is>
          <t>총비용</t>
        </is>
      </c>
      <c r="E11" s="122" t="inlineStr">
        <is>
          <t>영업이익</t>
        </is>
      </c>
      <c r="G11" s="122" t="inlineStr">
        <is>
          <t>승객수</t>
        </is>
      </c>
      <c r="H11" s="122" t="inlineStr">
        <is>
          <t>매출액</t>
        </is>
      </c>
      <c r="I11" s="122" t="inlineStr">
        <is>
          <t>총비용</t>
        </is>
      </c>
      <c r="J11" s="122" t="inlineStr">
        <is>
          <t>영업이익</t>
        </is>
      </c>
    </row>
    <row r="12">
      <c r="B12" s="55">
        <f>ROUND($C$9*0/20,0)</f>
        <v/>
      </c>
      <c r="C12" s="134">
        <f>(B12*목표이익률_지표!$C$9+목표이익률_지표!$C$11)/1000000</f>
        <v/>
      </c>
      <c r="D12" s="134">
        <f>(목표이익률_지표!$C$6+목표이익률_지표!$C$7/목표이익률_지표!$C$8*IF(AND(목표이익률_지표!$C$13="O",목표이익률_지표!$C$12&gt;0),MAX(목표이익률_지표!$C$8,CEILING(B12/목표이익률_지표!$C$12,1)),목표이익률_지표!$C$8)+목표이익률_지표!$C$10*B12)/1000000</f>
        <v/>
      </c>
      <c r="E12" s="134">
        <f>C12-D12</f>
        <v/>
      </c>
      <c r="G12" s="55">
        <f>ROUND($H$9*0/20,0)</f>
        <v/>
      </c>
      <c r="H12" s="134">
        <f>(G12*목표이익률_지표!$C$55+목표이익률_지표!$C$57)/1000000</f>
        <v/>
      </c>
      <c r="I12" s="134">
        <f>(목표이익률_지표!$C$52+목표이익률_지표!$C$53/목표이익률_지표!$C$54*IF(AND(목표이익률_지표!$C$59="O",목표이익률_지표!$C$58&gt;0),MAX(목표이익률_지표!$C$54,CEILING(G12/목표이익률_지표!$C$58,1)),목표이익률_지표!$C$54)+목표이익률_지표!$C$56*G12)/1000000</f>
        <v/>
      </c>
      <c r="J12" s="134">
        <f>H12-I12</f>
        <v/>
      </c>
    </row>
    <row r="13">
      <c r="B13" s="55">
        <f>ROUND($C$9*1/20,0)</f>
        <v/>
      </c>
      <c r="C13" s="134">
        <f>(B13*목표이익률_지표!$C$9+목표이익률_지표!$C$11)/1000000</f>
        <v/>
      </c>
      <c r="D13" s="134">
        <f>(목표이익률_지표!$C$6+목표이익률_지표!$C$7/목표이익률_지표!$C$8*IF(AND(목표이익률_지표!$C$13="O",목표이익률_지표!$C$12&gt;0),MAX(목표이익률_지표!$C$8,CEILING(B13/목표이익률_지표!$C$12,1)),목표이익률_지표!$C$8)+목표이익률_지표!$C$10*B13)/1000000</f>
        <v/>
      </c>
      <c r="E13" s="134">
        <f>C13-D13</f>
        <v/>
      </c>
      <c r="G13" s="55">
        <f>ROUND($H$9*1/20,0)</f>
        <v/>
      </c>
      <c r="H13" s="134">
        <f>(G13*목표이익률_지표!$C$55+목표이익률_지표!$C$57)/1000000</f>
        <v/>
      </c>
      <c r="I13" s="134">
        <f>(목표이익률_지표!$C$52+목표이익률_지표!$C$53/목표이익률_지표!$C$54*IF(AND(목표이익률_지표!$C$59="O",목표이익률_지표!$C$58&gt;0),MAX(목표이익률_지표!$C$54,CEILING(G13/목표이익률_지표!$C$58,1)),목표이익률_지표!$C$54)+목표이익률_지표!$C$56*G13)/1000000</f>
        <v/>
      </c>
      <c r="J13" s="134">
        <f>H13-I13</f>
        <v/>
      </c>
    </row>
    <row r="14">
      <c r="B14" s="55">
        <f>ROUND($C$9*2/20,0)</f>
        <v/>
      </c>
      <c r="C14" s="134">
        <f>(B14*목표이익률_지표!$C$9+목표이익률_지표!$C$11)/1000000</f>
        <v/>
      </c>
      <c r="D14" s="134">
        <f>(목표이익률_지표!$C$6+목표이익률_지표!$C$7/목표이익률_지표!$C$8*IF(AND(목표이익률_지표!$C$13="O",목표이익률_지표!$C$12&gt;0),MAX(목표이익률_지표!$C$8,CEILING(B14/목표이익률_지표!$C$12,1)),목표이익률_지표!$C$8)+목표이익률_지표!$C$10*B14)/1000000</f>
        <v/>
      </c>
      <c r="E14" s="134">
        <f>C14-D14</f>
        <v/>
      </c>
      <c r="G14" s="55">
        <f>ROUND($H$9*2/20,0)</f>
        <v/>
      </c>
      <c r="H14" s="134">
        <f>(G14*목표이익률_지표!$C$55+목표이익률_지표!$C$57)/1000000</f>
        <v/>
      </c>
      <c r="I14" s="134">
        <f>(목표이익률_지표!$C$52+목표이익률_지표!$C$53/목표이익률_지표!$C$54*IF(AND(목표이익률_지표!$C$59="O",목표이익률_지표!$C$58&gt;0),MAX(목표이익률_지표!$C$54,CEILING(G14/목표이익률_지표!$C$58,1)),목표이익률_지표!$C$54)+목표이익률_지표!$C$56*G14)/1000000</f>
        <v/>
      </c>
      <c r="J14" s="134">
        <f>H14-I14</f>
        <v/>
      </c>
    </row>
    <row r="15">
      <c r="B15" s="55">
        <f>ROUND($C$9*3/20,0)</f>
        <v/>
      </c>
      <c r="C15" s="134">
        <f>(B15*목표이익률_지표!$C$9+목표이익률_지표!$C$11)/1000000</f>
        <v/>
      </c>
      <c r="D15" s="134">
        <f>(목표이익률_지표!$C$6+목표이익률_지표!$C$7/목표이익률_지표!$C$8*IF(AND(목표이익률_지표!$C$13="O",목표이익률_지표!$C$12&gt;0),MAX(목표이익률_지표!$C$8,CEILING(B15/목표이익률_지표!$C$12,1)),목표이익률_지표!$C$8)+목표이익률_지표!$C$10*B15)/1000000</f>
        <v/>
      </c>
      <c r="E15" s="134">
        <f>C15-D15</f>
        <v/>
      </c>
      <c r="G15" s="55">
        <f>ROUND($H$9*3/20,0)</f>
        <v/>
      </c>
      <c r="H15" s="134">
        <f>(G15*목표이익률_지표!$C$55+목표이익률_지표!$C$57)/1000000</f>
        <v/>
      </c>
      <c r="I15" s="134">
        <f>(목표이익률_지표!$C$52+목표이익률_지표!$C$53/목표이익률_지표!$C$54*IF(AND(목표이익률_지표!$C$59="O",목표이익률_지표!$C$58&gt;0),MAX(목표이익률_지표!$C$54,CEILING(G15/목표이익률_지표!$C$58,1)),목표이익률_지표!$C$54)+목표이익률_지표!$C$56*G15)/1000000</f>
        <v/>
      </c>
      <c r="J15" s="134">
        <f>H15-I15</f>
        <v/>
      </c>
    </row>
    <row r="16">
      <c r="B16" s="55">
        <f>ROUND($C$9*4/20,0)</f>
        <v/>
      </c>
      <c r="C16" s="134">
        <f>(B16*목표이익률_지표!$C$9+목표이익률_지표!$C$11)/1000000</f>
        <v/>
      </c>
      <c r="D16" s="134">
        <f>(목표이익률_지표!$C$6+목표이익률_지표!$C$7/목표이익률_지표!$C$8*IF(AND(목표이익률_지표!$C$13="O",목표이익률_지표!$C$12&gt;0),MAX(목표이익률_지표!$C$8,CEILING(B16/목표이익률_지표!$C$12,1)),목표이익률_지표!$C$8)+목표이익률_지표!$C$10*B16)/1000000</f>
        <v/>
      </c>
      <c r="E16" s="134">
        <f>C16-D16</f>
        <v/>
      </c>
      <c r="G16" s="55">
        <f>ROUND($H$9*4/20,0)</f>
        <v/>
      </c>
      <c r="H16" s="134">
        <f>(G16*목표이익률_지표!$C$55+목표이익률_지표!$C$57)/1000000</f>
        <v/>
      </c>
      <c r="I16" s="134">
        <f>(목표이익률_지표!$C$52+목표이익률_지표!$C$53/목표이익률_지표!$C$54*IF(AND(목표이익률_지표!$C$59="O",목표이익률_지표!$C$58&gt;0),MAX(목표이익률_지표!$C$54,CEILING(G16/목표이익률_지표!$C$58,1)),목표이익률_지표!$C$54)+목표이익률_지표!$C$56*G16)/1000000</f>
        <v/>
      </c>
      <c r="J16" s="134">
        <f>H16-I16</f>
        <v/>
      </c>
    </row>
    <row r="17">
      <c r="B17" s="55">
        <f>ROUND($C$9*5/20,0)</f>
        <v/>
      </c>
      <c r="C17" s="134">
        <f>(B17*목표이익률_지표!$C$9+목표이익률_지표!$C$11)/1000000</f>
        <v/>
      </c>
      <c r="D17" s="134">
        <f>(목표이익률_지표!$C$6+목표이익률_지표!$C$7/목표이익률_지표!$C$8*IF(AND(목표이익률_지표!$C$13="O",목표이익률_지표!$C$12&gt;0),MAX(목표이익률_지표!$C$8,CEILING(B17/목표이익률_지표!$C$12,1)),목표이익률_지표!$C$8)+목표이익률_지표!$C$10*B17)/1000000</f>
        <v/>
      </c>
      <c r="E17" s="134">
        <f>C17-D17</f>
        <v/>
      </c>
      <c r="G17" s="55">
        <f>ROUND($H$9*5/20,0)</f>
        <v/>
      </c>
      <c r="H17" s="134">
        <f>(G17*목표이익률_지표!$C$55+목표이익률_지표!$C$57)/1000000</f>
        <v/>
      </c>
      <c r="I17" s="134">
        <f>(목표이익률_지표!$C$52+목표이익률_지표!$C$53/목표이익률_지표!$C$54*IF(AND(목표이익률_지표!$C$59="O",목표이익률_지표!$C$58&gt;0),MAX(목표이익률_지표!$C$54,CEILING(G17/목표이익률_지표!$C$58,1)),목표이익률_지표!$C$54)+목표이익률_지표!$C$56*G17)/1000000</f>
        <v/>
      </c>
      <c r="J17" s="134">
        <f>H17-I17</f>
        <v/>
      </c>
    </row>
    <row r="18">
      <c r="B18" s="55">
        <f>ROUND($C$9*6/20,0)</f>
        <v/>
      </c>
      <c r="C18" s="134">
        <f>(B18*목표이익률_지표!$C$9+목표이익률_지표!$C$11)/1000000</f>
        <v/>
      </c>
      <c r="D18" s="134">
        <f>(목표이익률_지표!$C$6+목표이익률_지표!$C$7/목표이익률_지표!$C$8*IF(AND(목표이익률_지표!$C$13="O",목표이익률_지표!$C$12&gt;0),MAX(목표이익률_지표!$C$8,CEILING(B18/목표이익률_지표!$C$12,1)),목표이익률_지표!$C$8)+목표이익률_지표!$C$10*B18)/1000000</f>
        <v/>
      </c>
      <c r="E18" s="134">
        <f>C18-D18</f>
        <v/>
      </c>
      <c r="G18" s="55">
        <f>ROUND($H$9*6/20,0)</f>
        <v/>
      </c>
      <c r="H18" s="134">
        <f>(G18*목표이익률_지표!$C$55+목표이익률_지표!$C$57)/1000000</f>
        <v/>
      </c>
      <c r="I18" s="134">
        <f>(목표이익률_지표!$C$52+목표이익률_지표!$C$53/목표이익률_지표!$C$54*IF(AND(목표이익률_지표!$C$59="O",목표이익률_지표!$C$58&gt;0),MAX(목표이익률_지표!$C$54,CEILING(G18/목표이익률_지표!$C$58,1)),목표이익률_지표!$C$54)+목표이익률_지표!$C$56*G18)/1000000</f>
        <v/>
      </c>
      <c r="J18" s="134">
        <f>H18-I18</f>
        <v/>
      </c>
    </row>
    <row r="19">
      <c r="B19" s="55">
        <f>ROUND($C$9*7/20,0)</f>
        <v/>
      </c>
      <c r="C19" s="134">
        <f>(B19*목표이익률_지표!$C$9+목표이익률_지표!$C$11)/1000000</f>
        <v/>
      </c>
      <c r="D19" s="134">
        <f>(목표이익률_지표!$C$6+목표이익률_지표!$C$7/목표이익률_지표!$C$8*IF(AND(목표이익률_지표!$C$13="O",목표이익률_지표!$C$12&gt;0),MAX(목표이익률_지표!$C$8,CEILING(B19/목표이익률_지표!$C$12,1)),목표이익률_지표!$C$8)+목표이익률_지표!$C$10*B19)/1000000</f>
        <v/>
      </c>
      <c r="E19" s="134">
        <f>C19-D19</f>
        <v/>
      </c>
      <c r="G19" s="55">
        <f>ROUND($H$9*7/20,0)</f>
        <v/>
      </c>
      <c r="H19" s="134">
        <f>(G19*목표이익률_지표!$C$55+목표이익률_지표!$C$57)/1000000</f>
        <v/>
      </c>
      <c r="I19" s="134">
        <f>(목표이익률_지표!$C$52+목표이익률_지표!$C$53/목표이익률_지표!$C$54*IF(AND(목표이익률_지표!$C$59="O",목표이익률_지표!$C$58&gt;0),MAX(목표이익률_지표!$C$54,CEILING(G19/목표이익률_지표!$C$58,1)),목표이익률_지표!$C$54)+목표이익률_지표!$C$56*G19)/1000000</f>
        <v/>
      </c>
      <c r="J19" s="134">
        <f>H19-I19</f>
        <v/>
      </c>
    </row>
    <row r="20">
      <c r="B20" s="55">
        <f>ROUND($C$9*8/20,0)</f>
        <v/>
      </c>
      <c r="C20" s="134">
        <f>(B20*목표이익률_지표!$C$9+목표이익률_지표!$C$11)/1000000</f>
        <v/>
      </c>
      <c r="D20" s="134">
        <f>(목표이익률_지표!$C$6+목표이익률_지표!$C$7/목표이익률_지표!$C$8*IF(AND(목표이익률_지표!$C$13="O",목표이익률_지표!$C$12&gt;0),MAX(목표이익률_지표!$C$8,CEILING(B20/목표이익률_지표!$C$12,1)),목표이익률_지표!$C$8)+목표이익률_지표!$C$10*B20)/1000000</f>
        <v/>
      </c>
      <c r="E20" s="134">
        <f>C20-D20</f>
        <v/>
      </c>
      <c r="G20" s="55">
        <f>ROUND($H$9*8/20,0)</f>
        <v/>
      </c>
      <c r="H20" s="134">
        <f>(G20*목표이익률_지표!$C$55+목표이익률_지표!$C$57)/1000000</f>
        <v/>
      </c>
      <c r="I20" s="134">
        <f>(목표이익률_지표!$C$52+목표이익률_지표!$C$53/목표이익률_지표!$C$54*IF(AND(목표이익률_지표!$C$59="O",목표이익률_지표!$C$58&gt;0),MAX(목표이익률_지표!$C$54,CEILING(G20/목표이익률_지표!$C$58,1)),목표이익률_지표!$C$54)+목표이익률_지표!$C$56*G20)/1000000</f>
        <v/>
      </c>
      <c r="J20" s="134">
        <f>H20-I20</f>
        <v/>
      </c>
    </row>
    <row r="21">
      <c r="B21" s="55">
        <f>ROUND($C$9*9/20,0)</f>
        <v/>
      </c>
      <c r="C21" s="134">
        <f>(B21*목표이익률_지표!$C$9+목표이익률_지표!$C$11)/1000000</f>
        <v/>
      </c>
      <c r="D21" s="134">
        <f>(목표이익률_지표!$C$6+목표이익률_지표!$C$7/목표이익률_지표!$C$8*IF(AND(목표이익률_지표!$C$13="O",목표이익률_지표!$C$12&gt;0),MAX(목표이익률_지표!$C$8,CEILING(B21/목표이익률_지표!$C$12,1)),목표이익률_지표!$C$8)+목표이익률_지표!$C$10*B21)/1000000</f>
        <v/>
      </c>
      <c r="E21" s="134">
        <f>C21-D21</f>
        <v/>
      </c>
      <c r="G21" s="55">
        <f>ROUND($H$9*9/20,0)</f>
        <v/>
      </c>
      <c r="H21" s="134">
        <f>(G21*목표이익률_지표!$C$55+목표이익률_지표!$C$57)/1000000</f>
        <v/>
      </c>
      <c r="I21" s="134">
        <f>(목표이익률_지표!$C$52+목표이익률_지표!$C$53/목표이익률_지표!$C$54*IF(AND(목표이익률_지표!$C$59="O",목표이익률_지표!$C$58&gt;0),MAX(목표이익률_지표!$C$54,CEILING(G21/목표이익률_지표!$C$58,1)),목표이익률_지표!$C$54)+목표이익률_지표!$C$56*G21)/1000000</f>
        <v/>
      </c>
      <c r="J21" s="134">
        <f>H21-I21</f>
        <v/>
      </c>
    </row>
    <row r="22">
      <c r="B22" s="55">
        <f>ROUND($C$9*10/20,0)</f>
        <v/>
      </c>
      <c r="C22" s="134">
        <f>(B22*목표이익률_지표!$C$9+목표이익률_지표!$C$11)/1000000</f>
        <v/>
      </c>
      <c r="D22" s="134">
        <f>(목표이익률_지표!$C$6+목표이익률_지표!$C$7/목표이익률_지표!$C$8*IF(AND(목표이익률_지표!$C$13="O",목표이익률_지표!$C$12&gt;0),MAX(목표이익률_지표!$C$8,CEILING(B22/목표이익률_지표!$C$12,1)),목표이익률_지표!$C$8)+목표이익률_지표!$C$10*B22)/1000000</f>
        <v/>
      </c>
      <c r="E22" s="134">
        <f>C22-D22</f>
        <v/>
      </c>
      <c r="G22" s="55">
        <f>ROUND($H$9*10/20,0)</f>
        <v/>
      </c>
      <c r="H22" s="134">
        <f>(G22*목표이익률_지표!$C$55+목표이익률_지표!$C$57)/1000000</f>
        <v/>
      </c>
      <c r="I22" s="134">
        <f>(목표이익률_지표!$C$52+목표이익률_지표!$C$53/목표이익률_지표!$C$54*IF(AND(목표이익률_지표!$C$59="O",목표이익률_지표!$C$58&gt;0),MAX(목표이익률_지표!$C$54,CEILING(G22/목표이익률_지표!$C$58,1)),목표이익률_지표!$C$54)+목표이익률_지표!$C$56*G22)/1000000</f>
        <v/>
      </c>
      <c r="J22" s="134">
        <f>H22-I22</f>
        <v/>
      </c>
    </row>
    <row r="23">
      <c r="B23" s="55">
        <f>ROUND($C$9*11/20,0)</f>
        <v/>
      </c>
      <c r="C23" s="134">
        <f>(B23*목표이익률_지표!$C$9+목표이익률_지표!$C$11)/1000000</f>
        <v/>
      </c>
      <c r="D23" s="134">
        <f>(목표이익률_지표!$C$6+목표이익률_지표!$C$7/목표이익률_지표!$C$8*IF(AND(목표이익률_지표!$C$13="O",목표이익률_지표!$C$12&gt;0),MAX(목표이익률_지표!$C$8,CEILING(B23/목표이익률_지표!$C$12,1)),목표이익률_지표!$C$8)+목표이익률_지표!$C$10*B23)/1000000</f>
        <v/>
      </c>
      <c r="E23" s="134">
        <f>C23-D23</f>
        <v/>
      </c>
      <c r="G23" s="55">
        <f>ROUND($H$9*11/20,0)</f>
        <v/>
      </c>
      <c r="H23" s="134">
        <f>(G23*목표이익률_지표!$C$55+목표이익률_지표!$C$57)/1000000</f>
        <v/>
      </c>
      <c r="I23" s="134">
        <f>(목표이익률_지표!$C$52+목표이익률_지표!$C$53/목표이익률_지표!$C$54*IF(AND(목표이익률_지표!$C$59="O",목표이익률_지표!$C$58&gt;0),MAX(목표이익률_지표!$C$54,CEILING(G23/목표이익률_지표!$C$58,1)),목표이익률_지표!$C$54)+목표이익률_지표!$C$56*G23)/1000000</f>
        <v/>
      </c>
      <c r="J23" s="134">
        <f>H23-I23</f>
        <v/>
      </c>
    </row>
    <row r="24">
      <c r="B24" s="55">
        <f>ROUND($C$9*12/20,0)</f>
        <v/>
      </c>
      <c r="C24" s="134">
        <f>(B24*목표이익률_지표!$C$9+목표이익률_지표!$C$11)/1000000</f>
        <v/>
      </c>
      <c r="D24" s="134">
        <f>(목표이익률_지표!$C$6+목표이익률_지표!$C$7/목표이익률_지표!$C$8*IF(AND(목표이익률_지표!$C$13="O",목표이익률_지표!$C$12&gt;0),MAX(목표이익률_지표!$C$8,CEILING(B24/목표이익률_지표!$C$12,1)),목표이익률_지표!$C$8)+목표이익률_지표!$C$10*B24)/1000000</f>
        <v/>
      </c>
      <c r="E24" s="134">
        <f>C24-D24</f>
        <v/>
      </c>
      <c r="G24" s="55">
        <f>ROUND($H$9*12/20,0)</f>
        <v/>
      </c>
      <c r="H24" s="134">
        <f>(G24*목표이익률_지표!$C$55+목표이익률_지표!$C$57)/1000000</f>
        <v/>
      </c>
      <c r="I24" s="134">
        <f>(목표이익률_지표!$C$52+목표이익률_지표!$C$53/목표이익률_지표!$C$54*IF(AND(목표이익률_지표!$C$59="O",목표이익률_지표!$C$58&gt;0),MAX(목표이익률_지표!$C$54,CEILING(G24/목표이익률_지표!$C$58,1)),목표이익률_지표!$C$54)+목표이익률_지표!$C$56*G24)/1000000</f>
        <v/>
      </c>
      <c r="J24" s="134">
        <f>H24-I24</f>
        <v/>
      </c>
    </row>
    <row r="25">
      <c r="B25" s="55">
        <f>ROUND($C$9*13/20,0)</f>
        <v/>
      </c>
      <c r="C25" s="134">
        <f>(B25*목표이익률_지표!$C$9+목표이익률_지표!$C$11)/1000000</f>
        <v/>
      </c>
      <c r="D25" s="134">
        <f>(목표이익률_지표!$C$6+목표이익률_지표!$C$7/목표이익률_지표!$C$8*IF(AND(목표이익률_지표!$C$13="O",목표이익률_지표!$C$12&gt;0),MAX(목표이익률_지표!$C$8,CEILING(B25/목표이익률_지표!$C$12,1)),목표이익률_지표!$C$8)+목표이익률_지표!$C$10*B25)/1000000</f>
        <v/>
      </c>
      <c r="E25" s="134">
        <f>C25-D25</f>
        <v/>
      </c>
      <c r="G25" s="55">
        <f>ROUND($H$9*13/20,0)</f>
        <v/>
      </c>
      <c r="H25" s="134">
        <f>(G25*목표이익률_지표!$C$55+목표이익률_지표!$C$57)/1000000</f>
        <v/>
      </c>
      <c r="I25" s="134">
        <f>(목표이익률_지표!$C$52+목표이익률_지표!$C$53/목표이익률_지표!$C$54*IF(AND(목표이익률_지표!$C$59="O",목표이익률_지표!$C$58&gt;0),MAX(목표이익률_지표!$C$54,CEILING(G25/목표이익률_지표!$C$58,1)),목표이익률_지표!$C$54)+목표이익률_지표!$C$56*G25)/1000000</f>
        <v/>
      </c>
      <c r="J25" s="134">
        <f>H25-I25</f>
        <v/>
      </c>
    </row>
    <row r="26">
      <c r="B26" s="55">
        <f>ROUND($C$9*14/20,0)</f>
        <v/>
      </c>
      <c r="C26" s="134">
        <f>(B26*목표이익률_지표!$C$9+목표이익률_지표!$C$11)/1000000</f>
        <v/>
      </c>
      <c r="D26" s="134">
        <f>(목표이익률_지표!$C$6+목표이익률_지표!$C$7/목표이익률_지표!$C$8*IF(AND(목표이익률_지표!$C$13="O",목표이익률_지표!$C$12&gt;0),MAX(목표이익률_지표!$C$8,CEILING(B26/목표이익률_지표!$C$12,1)),목표이익률_지표!$C$8)+목표이익률_지표!$C$10*B26)/1000000</f>
        <v/>
      </c>
      <c r="E26" s="134">
        <f>C26-D26</f>
        <v/>
      </c>
      <c r="G26" s="55">
        <f>ROUND($H$9*14/20,0)</f>
        <v/>
      </c>
      <c r="H26" s="134">
        <f>(G26*목표이익률_지표!$C$55+목표이익률_지표!$C$57)/1000000</f>
        <v/>
      </c>
      <c r="I26" s="134">
        <f>(목표이익률_지표!$C$52+목표이익률_지표!$C$53/목표이익률_지표!$C$54*IF(AND(목표이익률_지표!$C$59="O",목표이익률_지표!$C$58&gt;0),MAX(목표이익률_지표!$C$54,CEILING(G26/목표이익률_지표!$C$58,1)),목표이익률_지표!$C$54)+목표이익률_지표!$C$56*G26)/1000000</f>
        <v/>
      </c>
      <c r="J26" s="134">
        <f>H26-I26</f>
        <v/>
      </c>
    </row>
    <row r="27">
      <c r="B27" s="55">
        <f>ROUND($C$9*15/20,0)</f>
        <v/>
      </c>
      <c r="C27" s="134">
        <f>(B27*목표이익률_지표!$C$9+목표이익률_지표!$C$11)/1000000</f>
        <v/>
      </c>
      <c r="D27" s="134">
        <f>(목표이익률_지표!$C$6+목표이익률_지표!$C$7/목표이익률_지표!$C$8*IF(AND(목표이익률_지표!$C$13="O",목표이익률_지표!$C$12&gt;0),MAX(목표이익률_지표!$C$8,CEILING(B27/목표이익률_지표!$C$12,1)),목표이익률_지표!$C$8)+목표이익률_지표!$C$10*B27)/1000000</f>
        <v/>
      </c>
      <c r="E27" s="134">
        <f>C27-D27</f>
        <v/>
      </c>
      <c r="G27" s="55">
        <f>ROUND($H$9*15/20,0)</f>
        <v/>
      </c>
      <c r="H27" s="134">
        <f>(G27*목표이익률_지표!$C$55+목표이익률_지표!$C$57)/1000000</f>
        <v/>
      </c>
      <c r="I27" s="134">
        <f>(목표이익률_지표!$C$52+목표이익률_지표!$C$53/목표이익률_지표!$C$54*IF(AND(목표이익률_지표!$C$59="O",목표이익률_지표!$C$58&gt;0),MAX(목표이익률_지표!$C$54,CEILING(G27/목표이익률_지표!$C$58,1)),목표이익률_지표!$C$54)+목표이익률_지표!$C$56*G27)/1000000</f>
        <v/>
      </c>
      <c r="J27" s="134">
        <f>H27-I27</f>
        <v/>
      </c>
    </row>
    <row r="28">
      <c r="B28" s="55">
        <f>ROUND($C$9*16/20,0)</f>
        <v/>
      </c>
      <c r="C28" s="134">
        <f>(B28*목표이익률_지표!$C$9+목표이익률_지표!$C$11)/1000000</f>
        <v/>
      </c>
      <c r="D28" s="134">
        <f>(목표이익률_지표!$C$6+목표이익률_지표!$C$7/목표이익률_지표!$C$8*IF(AND(목표이익률_지표!$C$13="O",목표이익률_지표!$C$12&gt;0),MAX(목표이익률_지표!$C$8,CEILING(B28/목표이익률_지표!$C$12,1)),목표이익률_지표!$C$8)+목표이익률_지표!$C$10*B28)/1000000</f>
        <v/>
      </c>
      <c r="E28" s="134">
        <f>C28-D28</f>
        <v/>
      </c>
      <c r="G28" s="55">
        <f>ROUND($H$9*16/20,0)</f>
        <v/>
      </c>
      <c r="H28" s="134">
        <f>(G28*목표이익률_지표!$C$55+목표이익률_지표!$C$57)/1000000</f>
        <v/>
      </c>
      <c r="I28" s="134">
        <f>(목표이익률_지표!$C$52+목표이익률_지표!$C$53/목표이익률_지표!$C$54*IF(AND(목표이익률_지표!$C$59="O",목표이익률_지표!$C$58&gt;0),MAX(목표이익률_지표!$C$54,CEILING(G28/목표이익률_지표!$C$58,1)),목표이익률_지표!$C$54)+목표이익률_지표!$C$56*G28)/1000000</f>
        <v/>
      </c>
      <c r="J28" s="134">
        <f>H28-I28</f>
        <v/>
      </c>
    </row>
    <row r="29">
      <c r="B29" s="55">
        <f>ROUND($C$9*17/20,0)</f>
        <v/>
      </c>
      <c r="C29" s="134">
        <f>(B29*목표이익률_지표!$C$9+목표이익률_지표!$C$11)/1000000</f>
        <v/>
      </c>
      <c r="D29" s="134">
        <f>(목표이익률_지표!$C$6+목표이익률_지표!$C$7/목표이익률_지표!$C$8*IF(AND(목표이익률_지표!$C$13="O",목표이익률_지표!$C$12&gt;0),MAX(목표이익률_지표!$C$8,CEILING(B29/목표이익률_지표!$C$12,1)),목표이익률_지표!$C$8)+목표이익률_지표!$C$10*B29)/1000000</f>
        <v/>
      </c>
      <c r="E29" s="134">
        <f>C29-D29</f>
        <v/>
      </c>
      <c r="G29" s="55">
        <f>ROUND($H$9*17/20,0)</f>
        <v/>
      </c>
      <c r="H29" s="134">
        <f>(G29*목표이익률_지표!$C$55+목표이익률_지표!$C$57)/1000000</f>
        <v/>
      </c>
      <c r="I29" s="134">
        <f>(목표이익률_지표!$C$52+목표이익률_지표!$C$53/목표이익률_지표!$C$54*IF(AND(목표이익률_지표!$C$59="O",목표이익률_지표!$C$58&gt;0),MAX(목표이익률_지표!$C$54,CEILING(G29/목표이익률_지표!$C$58,1)),목표이익률_지표!$C$54)+목표이익률_지표!$C$56*G29)/1000000</f>
        <v/>
      </c>
      <c r="J29" s="134">
        <f>H29-I29</f>
        <v/>
      </c>
    </row>
    <row r="30">
      <c r="B30" s="55">
        <f>ROUND($C$9*18/20,0)</f>
        <v/>
      </c>
      <c r="C30" s="134">
        <f>(B30*목표이익률_지표!$C$9+목표이익률_지표!$C$11)/1000000</f>
        <v/>
      </c>
      <c r="D30" s="134">
        <f>(목표이익률_지표!$C$6+목표이익률_지표!$C$7/목표이익률_지표!$C$8*IF(AND(목표이익률_지표!$C$13="O",목표이익률_지표!$C$12&gt;0),MAX(목표이익률_지표!$C$8,CEILING(B30/목표이익률_지표!$C$12,1)),목표이익률_지표!$C$8)+목표이익률_지표!$C$10*B30)/1000000</f>
        <v/>
      </c>
      <c r="E30" s="134">
        <f>C30-D30</f>
        <v/>
      </c>
      <c r="G30" s="55">
        <f>ROUND($H$9*18/20,0)</f>
        <v/>
      </c>
      <c r="H30" s="134">
        <f>(G30*목표이익률_지표!$C$55+목표이익률_지표!$C$57)/1000000</f>
        <v/>
      </c>
      <c r="I30" s="134">
        <f>(목표이익률_지표!$C$52+목표이익률_지표!$C$53/목표이익률_지표!$C$54*IF(AND(목표이익률_지표!$C$59="O",목표이익률_지표!$C$58&gt;0),MAX(목표이익률_지표!$C$54,CEILING(G30/목표이익률_지표!$C$58,1)),목표이익률_지표!$C$54)+목표이익률_지표!$C$56*G30)/1000000</f>
        <v/>
      </c>
      <c r="J30" s="134">
        <f>H30-I30</f>
        <v/>
      </c>
    </row>
    <row r="31">
      <c r="B31" s="55">
        <f>ROUND($C$9*19/20,0)</f>
        <v/>
      </c>
      <c r="C31" s="134">
        <f>(B31*목표이익률_지표!$C$9+목표이익률_지표!$C$11)/1000000</f>
        <v/>
      </c>
      <c r="D31" s="134">
        <f>(목표이익률_지표!$C$6+목표이익률_지표!$C$7/목표이익률_지표!$C$8*IF(AND(목표이익률_지표!$C$13="O",목표이익률_지표!$C$12&gt;0),MAX(목표이익률_지표!$C$8,CEILING(B31/목표이익률_지표!$C$12,1)),목표이익률_지표!$C$8)+목표이익률_지표!$C$10*B31)/1000000</f>
        <v/>
      </c>
      <c r="E31" s="134">
        <f>C31-D31</f>
        <v/>
      </c>
      <c r="G31" s="55">
        <f>ROUND($H$9*19/20,0)</f>
        <v/>
      </c>
      <c r="H31" s="134">
        <f>(G31*목표이익률_지표!$C$55+목표이익률_지표!$C$57)/1000000</f>
        <v/>
      </c>
      <c r="I31" s="134">
        <f>(목표이익률_지표!$C$52+목표이익률_지표!$C$53/목표이익률_지표!$C$54*IF(AND(목표이익률_지표!$C$59="O",목표이익률_지표!$C$58&gt;0),MAX(목표이익률_지표!$C$54,CEILING(G31/목표이익률_지표!$C$58,1)),목표이익률_지표!$C$54)+목표이익률_지표!$C$56*G31)/1000000</f>
        <v/>
      </c>
      <c r="J31" s="134">
        <f>H31-I31</f>
        <v/>
      </c>
    </row>
    <row r="32">
      <c r="B32" s="55">
        <f>ROUND($C$9*20/20,0)</f>
        <v/>
      </c>
      <c r="C32" s="134">
        <f>(B32*목표이익률_지표!$C$9+목표이익률_지표!$C$11)/1000000</f>
        <v/>
      </c>
      <c r="D32" s="134">
        <f>(목표이익률_지표!$C$6+목표이익률_지표!$C$7/목표이익률_지표!$C$8*IF(AND(목표이익률_지표!$C$13="O",목표이익률_지표!$C$12&gt;0),MAX(목표이익률_지표!$C$8,CEILING(B32/목표이익률_지표!$C$12,1)),목표이익률_지표!$C$8)+목표이익률_지표!$C$10*B32)/1000000</f>
        <v/>
      </c>
      <c r="E32" s="134">
        <f>C32-D32</f>
        <v/>
      </c>
      <c r="G32" s="55">
        <f>ROUND($H$9*20/20,0)</f>
        <v/>
      </c>
      <c r="H32" s="134">
        <f>(G32*목표이익률_지표!$C$55+목표이익률_지표!$C$57)/1000000</f>
        <v/>
      </c>
      <c r="I32" s="134">
        <f>(목표이익률_지표!$C$52+목표이익률_지표!$C$53/목표이익률_지표!$C$54*IF(AND(목표이익률_지표!$C$59="O",목표이익률_지표!$C$58&gt;0),MAX(목표이익률_지표!$C$54,CEILING(G32/목표이익률_지표!$C$58,1)),목표이익률_지표!$C$54)+목표이익률_지표!$C$56*G32)/1000000</f>
        <v/>
      </c>
      <c r="J32" s="134">
        <f>H32-I32</f>
        <v/>
      </c>
    </row>
  </sheetData>
  <pageMargins left="0.75" right="0.75" top="1" bottom="1" header="0.511811023622047" footer="0.511811023622047"/>
  <pageSetup orientation="landscape" fitToHeight="0" horizontalDpi="300" verticalDpi="300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B1:I72"/>
  <sheetViews>
    <sheetView zoomScale="85" zoomScaleNormal="85" workbookViewId="0">
      <selection activeCell="I31" sqref="I31"/>
    </sheetView>
  </sheetViews>
  <sheetFormatPr baseColWidth="8" defaultColWidth="8.7109375" defaultRowHeight="15"/>
  <cols>
    <col width="2" customWidth="1" min="1" max="1"/>
    <col width="34" customWidth="1" min="2" max="2"/>
    <col width="17" customWidth="1" min="3" max="5"/>
    <col width="14" customWidth="1" min="6" max="7"/>
    <col width="17" customWidth="1" min="8" max="8"/>
    <col width="50" customWidth="1" min="9" max="9"/>
  </cols>
  <sheetData>
    <row r="1" ht="26.25" customHeight="1">
      <c r="B1" s="2" t="inlineStr">
        <is>
          <t>인건비 1인당 분해 · 부가가치 · 지급수수료 점검</t>
        </is>
      </c>
    </row>
    <row r="2">
      <c r="B2" s="3" t="inlineStr">
        <is>
          <t>감사보고서 값만 쓰는 정적 분석 + 설정 인원에 따른 시뮬레이션 열. 단위: 원</t>
        </is>
      </c>
    </row>
    <row r="4" ht="16.5" customHeight="1">
      <c r="B4" s="24" t="inlineStr">
        <is>
          <t>1. 판관비 급여영역 — 과목별 1인당 분해 (기준 인원 30명)</t>
        </is>
      </c>
    </row>
    <row r="5" ht="27" customHeight="1">
      <c r="B5" s="122" t="inlineStr">
        <is>
          <t>과목</t>
        </is>
      </c>
      <c r="C5" s="122" t="inlineStr">
        <is>
          <t>연간 합계</t>
        </is>
      </c>
      <c r="D5" s="72" t="inlineStr">
        <is>
          <t>1인당 · 연</t>
        </is>
      </c>
      <c r="E5" s="72" t="inlineStr">
        <is>
          <t>1인당 · 월</t>
        </is>
      </c>
      <c r="F5" s="122" t="inlineStr">
        <is>
          <t>직원급여 대비</t>
        </is>
      </c>
      <c r="G5" s="122" t="inlineStr">
        <is>
          <t>급여영역 내 비중</t>
        </is>
      </c>
      <c r="H5" s="122" t="inlineStr">
        <is>
          <t>시뮬레이션 (설정 지상직)</t>
        </is>
      </c>
      <c r="I5" s="122" t="inlineStr">
        <is>
          <t>비고</t>
        </is>
      </c>
    </row>
    <row r="6">
      <c r="B6" s="11" t="inlineStr">
        <is>
          <t>직원급여</t>
        </is>
      </c>
      <c r="C6" s="134">
        <f>손익계산서_원본!$D$26</f>
        <v/>
      </c>
      <c r="D6" s="134">
        <f>C6/설정값!$D$90</f>
        <v/>
      </c>
      <c r="E6" s="134">
        <f>D6/12</f>
        <v/>
      </c>
      <c r="F6" s="88" t="inlineStr">
        <is>
          <t>—</t>
        </is>
      </c>
      <c r="G6" s="135">
        <f>C6/$C$9</f>
        <v/>
      </c>
      <c r="H6" s="134">
        <f>C6*설정값!$D$8/설정값!$D$90</f>
        <v/>
      </c>
      <c r="I6" s="101" t="n"/>
    </row>
    <row r="7">
      <c r="B7" s="11" t="inlineStr">
        <is>
          <t>퇴직급여</t>
        </is>
      </c>
      <c r="C7" s="134">
        <f>손익계산서_원본!$D$27</f>
        <v/>
      </c>
      <c r="D7" s="134">
        <f>C7/설정값!$D$90</f>
        <v/>
      </c>
      <c r="E7" s="134">
        <f>D7/12</f>
        <v/>
      </c>
      <c r="F7" s="60">
        <f>C7/$C$6</f>
        <v/>
      </c>
      <c r="G7" s="135">
        <f>C7/$C$9</f>
        <v/>
      </c>
      <c r="H7" s="134">
        <f>C7*설정값!$D$8/설정값!$D$90</f>
        <v/>
      </c>
      <c r="I7" s="101" t="n"/>
    </row>
    <row r="8">
      <c r="B8" s="11" t="inlineStr">
        <is>
          <t>복리후생비</t>
        </is>
      </c>
      <c r="C8" s="134">
        <f>손익계산서_원본!$D$28</f>
        <v/>
      </c>
      <c r="D8" s="134">
        <f>C8/설정값!$D$90</f>
        <v/>
      </c>
      <c r="E8" s="134">
        <f>D8/12</f>
        <v/>
      </c>
      <c r="F8" s="60">
        <f>C8/$C$6</f>
        <v/>
      </c>
      <c r="G8" s="135">
        <f>C8/$C$9</f>
        <v/>
      </c>
      <c r="H8" s="134">
        <f>C8*설정값!$D$8/설정값!$D$90</f>
        <v/>
      </c>
      <c r="I8" s="101" t="n"/>
    </row>
    <row r="9">
      <c r="B9" s="4" t="inlineStr">
        <is>
          <t>급여영역 합계</t>
        </is>
      </c>
      <c r="C9" s="131">
        <f>SUM(C6:C8)</f>
        <v/>
      </c>
      <c r="D9" s="131">
        <f>C9/설정값!$D$90</f>
        <v/>
      </c>
      <c r="E9" s="131">
        <f>D9/12</f>
        <v/>
      </c>
      <c r="F9" s="61">
        <f>C9/C6</f>
        <v/>
      </c>
      <c r="G9" s="161">
        <f>SUM(G6:G8)</f>
        <v/>
      </c>
      <c r="H9" s="131">
        <f>SUM(H6:H8)</f>
        <v/>
      </c>
      <c r="I9" s="101" t="n"/>
    </row>
    <row r="10">
      <c r="B10" s="11" t="inlineStr">
        <is>
          <t>검산 · 퇴직급여 ÷ 직원급여</t>
        </is>
      </c>
      <c r="C10" s="60">
        <f>C7/C6</f>
        <v/>
      </c>
      <c r="D10" s="11">
        <f>IF(ABS(C10-1/12)&lt;0.005,"법정 1/12(8.33%) 부합","1/12 이탈")</f>
        <v/>
      </c>
      <c r="E10" s="101" t="n"/>
      <c r="F10" s="101" t="n"/>
      <c r="G10" s="101" t="n"/>
      <c r="H10" s="101" t="n"/>
      <c r="I10" s="11">
        <f>"전기 "&amp;TEXT(손익계산서_원본!$G$27/손익계산서_원본!$G$26,"0.00%")&amp;" — 2022.06 물적분할 · 근속 1년 미만 다수"</f>
        <v/>
      </c>
    </row>
    <row r="12" ht="16.5" customHeight="1">
      <c r="B12" s="24" t="inlineStr">
        <is>
          <t>2. 인건비 — 지상직 · 해상직 분리 (주석 15)</t>
        </is>
      </c>
    </row>
    <row r="13">
      <c r="B13" s="122" t="inlineStr">
        <is>
          <t>과목</t>
        </is>
      </c>
      <c r="C13" s="122" t="inlineStr">
        <is>
          <t>지상직 (판관비)</t>
        </is>
      </c>
      <c r="D13" s="122" t="inlineStr">
        <is>
          <t>해상직 (운항원가)</t>
        </is>
      </c>
      <c r="E13" s="122" t="inlineStr">
        <is>
          <t>합계</t>
        </is>
      </c>
      <c r="F13" s="122" t="inlineStr">
        <is>
          <t>해상직 비중</t>
        </is>
      </c>
      <c r="G13" s="122" t="inlineStr">
        <is>
          <t>지상직 1인당</t>
        </is>
      </c>
      <c r="H13" s="122" t="inlineStr">
        <is>
          <t>해상직 1인당</t>
        </is>
      </c>
      <c r="I13" s="122" t="inlineStr">
        <is>
          <t>비고</t>
        </is>
      </c>
    </row>
    <row r="14">
      <c r="B14" s="11" t="inlineStr">
        <is>
          <t>급여</t>
        </is>
      </c>
      <c r="C14" s="134">
        <f>주석_보조자료!$C$6*1000</f>
        <v/>
      </c>
      <c r="D14" s="134">
        <f>주석_보조자료!$D$6*1000</f>
        <v/>
      </c>
      <c r="E14" s="134">
        <f>C14+D14</f>
        <v/>
      </c>
      <c r="F14" s="135">
        <f>D14/E14</f>
        <v/>
      </c>
      <c r="G14" s="134">
        <f>C14/설정값!$D$8</f>
        <v/>
      </c>
      <c r="H14" s="134">
        <f>D14/원가구조_기준!$C$31</f>
        <v/>
      </c>
      <c r="I14" s="101" t="n"/>
    </row>
    <row r="15">
      <c r="B15" s="11" t="inlineStr">
        <is>
          <t>복리후생비</t>
        </is>
      </c>
      <c r="C15" s="134">
        <f>주석_보조자료!$C$8*1000</f>
        <v/>
      </c>
      <c r="D15" s="134">
        <f>주석_보조자료!$D$8*1000</f>
        <v/>
      </c>
      <c r="E15" s="134">
        <f>C15+D15</f>
        <v/>
      </c>
      <c r="F15" s="135">
        <f>D15/E15</f>
        <v/>
      </c>
      <c r="G15" s="134">
        <f>C15/설정값!$D$8</f>
        <v/>
      </c>
      <c r="H15" s="134">
        <f>D15/원가구조_기준!$C$31</f>
        <v/>
      </c>
      <c r="I15" s="101" t="n"/>
    </row>
    <row r="16">
      <c r="B16" s="4" t="inlineStr">
        <is>
          <t>현금 인건비 소계</t>
        </is>
      </c>
      <c r="C16" s="131">
        <f>C14+C15</f>
        <v/>
      </c>
      <c r="D16" s="131">
        <f>D14+D15</f>
        <v/>
      </c>
      <c r="E16" s="133">
        <f>C16+D16</f>
        <v/>
      </c>
      <c r="F16" s="132">
        <f>D16/E16</f>
        <v/>
      </c>
      <c r="G16" s="133">
        <f>C16/설정값!$D$8</f>
        <v/>
      </c>
      <c r="H16" s="133">
        <f>D16/원가구조_기준!$C$31</f>
        <v/>
      </c>
      <c r="I16" s="101" t="n"/>
    </row>
    <row r="17">
      <c r="B17" s="11" t="inlineStr">
        <is>
          <t>퇴직급여 (비현금)</t>
        </is>
      </c>
      <c r="C17" s="134">
        <f>주석_보조자료!$C$7*1000</f>
        <v/>
      </c>
      <c r="D17" s="134">
        <f>주석_보조자료!$D$7*1000</f>
        <v/>
      </c>
      <c r="E17" s="134">
        <f>C17+D17</f>
        <v/>
      </c>
      <c r="F17" s="135">
        <f>D17/E17</f>
        <v/>
      </c>
      <c r="G17" s="134">
        <f>C17/설정값!$D$8</f>
        <v/>
      </c>
      <c r="H17" s="134">
        <f>D17/원가구조_기준!$C$31</f>
        <v/>
      </c>
      <c r="I17" s="101" t="n"/>
    </row>
    <row r="18">
      <c r="B18" s="4" t="inlineStr">
        <is>
          <t>인건비 합계</t>
        </is>
      </c>
      <c r="C18" s="131">
        <f>C16+C17</f>
        <v/>
      </c>
      <c r="D18" s="131">
        <f>D16+D17</f>
        <v/>
      </c>
      <c r="E18" s="133">
        <f>C18+D18</f>
        <v/>
      </c>
      <c r="F18" s="132">
        <f>D18/E18</f>
        <v/>
      </c>
      <c r="G18" s="133">
        <f>C18/설정값!$D$8</f>
        <v/>
      </c>
      <c r="H18" s="133">
        <f>D18/원가구조_기준!$C$31</f>
        <v/>
      </c>
      <c r="I18" s="101" t="n"/>
    </row>
    <row r="19">
      <c r="B19" s="102" t="inlineStr">
        <is>
          <t>인원</t>
        </is>
      </c>
      <c r="C19" s="162">
        <f>설정값!$D$8</f>
        <v/>
      </c>
      <c r="D19" s="162">
        <f>원가구조_기준!$C$31</f>
        <v/>
      </c>
      <c r="E19" s="162">
        <f>C19+D19</f>
        <v/>
      </c>
      <c r="I19" s="3" t="inlineStr">
        <is>
          <t>선원·승무원 인원은 가정 — 보고서에 없다</t>
        </is>
      </c>
    </row>
    <row r="20">
      <c r="B20" s="50" t="inlineStr">
        <is>
          <t>전사 인건비 1인당</t>
        </is>
      </c>
      <c r="E20" s="139">
        <f>E18/E19</f>
        <v/>
      </c>
    </row>
    <row r="21">
      <c r="B21" s="11" t="inlineStr">
        <is>
          <t>복리후생비 ÷ 급여</t>
        </is>
      </c>
      <c r="C21" s="60">
        <f>C15/C14</f>
        <v/>
      </c>
      <c r="D21" s="60">
        <f>D15/D14</f>
        <v/>
      </c>
      <c r="I21" s="3" t="inlineStr">
        <is>
          <t>해상직은 승선 중 식비·숙식 추정</t>
        </is>
      </c>
    </row>
    <row r="22">
      <c r="B22" s="11" t="inlineStr">
        <is>
          <t>퇴직급여 ÷ 급여 (법정 1/12 = 8.33%)</t>
        </is>
      </c>
      <c r="C22" s="60">
        <f>C17/C14</f>
        <v/>
      </c>
      <c r="D22" s="60">
        <f>D17/D14</f>
        <v/>
      </c>
    </row>
    <row r="23">
      <c r="B23" s="11" t="inlineStr">
        <is>
          <t>해상직 1인당 ÷ 지상직 현금 1인당</t>
        </is>
      </c>
      <c r="D23" s="141">
        <f>H18/원가구조_기준!$C$28</f>
        <v/>
      </c>
      <c r="E23" s="11">
        <f>IF(ABS(D23-1)&lt;0.4,"지상직과 정합","지상직과 격차 큼")</f>
        <v/>
      </c>
      <c r="I23" s="3">
        <f>"지상직 단가 환산 "&amp;TEXT(D18/원가구조_기준!$C$28,"0.0")&amp;"명분"</f>
        <v/>
      </c>
    </row>
    <row r="25" ht="16.5" customHeight="1">
      <c r="B25" s="24" t="inlineStr">
        <is>
          <t>3. 1인당 인건비 — 헤더 지표 (참조 · 대조)</t>
        </is>
      </c>
    </row>
    <row r="26">
      <c r="B26" s="122" t="inlineStr">
        <is>
          <t>항목</t>
        </is>
      </c>
      <c r="C26" s="122" t="inlineStr">
        <is>
          <t>참조 (실적)</t>
        </is>
      </c>
      <c r="D26" s="122" t="inlineStr">
        <is>
          <t>대조 선박</t>
        </is>
      </c>
      <c r="E26" s="122" t="n"/>
      <c r="F26" s="122" t="n"/>
      <c r="G26" s="122" t="n"/>
      <c r="H26" s="122" t="n"/>
      <c r="I26" s="122" t="inlineStr">
        <is>
          <t>산식</t>
        </is>
      </c>
    </row>
    <row r="27">
      <c r="B27" s="11" t="inlineStr">
        <is>
          <t>현금 인건비 총액</t>
        </is>
      </c>
      <c r="C27" s="134">
        <f>원가구조_기준!$C$28*설정값!$D$90</f>
        <v/>
      </c>
      <c r="D27" s="134">
        <f>설정값!$D$40*원가구조_기준!$C$28+(손익계산서_원본!$D$12+손익계산서_원본!$D$14)*대조선박_손익!$C$11</f>
        <v/>
      </c>
      <c r="I27" s="3" t="inlineStr">
        <is>
          <t>참조: 판관 급여+복리 · 대조: 지상직×현금1인당 + 운항(급여+복리)×hR</t>
        </is>
      </c>
    </row>
    <row r="28">
      <c r="B28" s="11" t="inlineStr">
        <is>
          <t>인원</t>
        </is>
      </c>
      <c r="C28" s="134">
        <f>설정값!$D$90</f>
        <v/>
      </c>
      <c r="D28" s="134">
        <f>설정값!$D$40+대조선박_손익!$C$10</f>
        <v/>
      </c>
      <c r="I28" s="3" t="inlineStr">
        <is>
          <t>참조는 판관 기준 인원 30명 · 대조는 지상직 + 해상직</t>
        </is>
      </c>
    </row>
    <row r="29">
      <c r="B29" s="69" t="inlineStr">
        <is>
          <t>1인당 현금 인건비 (헤더 값)</t>
        </is>
      </c>
      <c r="C29" s="138">
        <f>C27/C28</f>
        <v/>
      </c>
      <c r="D29" s="138">
        <f>D27/D28</f>
        <v/>
      </c>
      <c r="I29" s="3" t="n"/>
    </row>
    <row r="30">
      <c r="B30" s="11" t="inlineStr">
        <is>
          <t>인건비 총액 (퇴직 포함)</t>
        </is>
      </c>
      <c r="C30" s="134">
        <f>원가구조_기준!$C$16</f>
        <v/>
      </c>
      <c r="D30" s="134">
        <f>대조선박_손익!$C$35+대조선박_손익!$C$34</f>
        <v/>
      </c>
      <c r="I30" s="3" t="n"/>
    </row>
    <row r="31">
      <c r="B31" s="9" t="inlineStr">
        <is>
          <t>+ 퇴직 (비현금) 1인당</t>
        </is>
      </c>
      <c r="C31" s="134">
        <f>(C30-C27)/C28</f>
        <v/>
      </c>
      <c r="D31" s="134">
        <f>(D30-D27)/D28</f>
        <v/>
      </c>
      <c r="I31" s="3" t="n"/>
    </row>
    <row r="32">
      <c r="B32" s="11" t="inlineStr">
        <is>
          <t>합계 1인당</t>
        </is>
      </c>
      <c r="C32" s="134">
        <f>C30/C28</f>
        <v/>
      </c>
      <c r="D32" s="134">
        <f>D30/D28</f>
        <v/>
      </c>
      <c r="I32" s="3" t="n"/>
    </row>
    <row r="34" ht="16.5" customHeight="1">
      <c r="B34" s="24" t="inlineStr">
        <is>
          <t>4. 부가가치 계산 (주석 15 기준) — 부가가치세와 다른 개념</t>
        </is>
      </c>
    </row>
    <row r="35">
      <c r="B35" s="122" t="inlineStr">
        <is>
          <t>구성요소</t>
        </is>
      </c>
      <c r="C35" s="122" t="inlineStr">
        <is>
          <t>당기 2024</t>
        </is>
      </c>
      <c r="D35" s="122" t="inlineStr">
        <is>
          <t>전기 2023</t>
        </is>
      </c>
      <c r="E35" s="122" t="inlineStr">
        <is>
          <t>당기 매출 대비</t>
        </is>
      </c>
      <c r="F35" s="122" t="n"/>
      <c r="G35" s="122" t="n"/>
      <c r="H35" s="122" t="n"/>
      <c r="I35" s="122" t="inlineStr">
        <is>
          <t>산식</t>
        </is>
      </c>
    </row>
    <row r="36">
      <c r="B36" s="11" t="inlineStr">
        <is>
          <t>경상손익 (법인세비용차감전)</t>
        </is>
      </c>
      <c r="C36" s="134">
        <f>손익계산서_원본!$D$58</f>
        <v/>
      </c>
      <c r="D36" s="134">
        <f>손익계산서_원본!$G$58</f>
        <v/>
      </c>
      <c r="E36" s="135">
        <f>C36/원가구조_기준!$C$7</f>
        <v/>
      </c>
      <c r="I36" s="3" t="inlineStr">
        <is>
          <t>손익계산서 Ⅷ</t>
        </is>
      </c>
    </row>
    <row r="37">
      <c r="B37" s="11" t="inlineStr">
        <is>
          <t>인건비 (급여·퇴직·복리)</t>
        </is>
      </c>
      <c r="C37" s="134">
        <f>주석_보조자료!$E$9*1000</f>
        <v/>
      </c>
      <c r="D37" s="134">
        <f>주석_보조자료!$H$9*1000</f>
        <v/>
      </c>
      <c r="E37" s="135">
        <f>C37/원가구조_기준!$C$7</f>
        <v/>
      </c>
      <c r="I37" s="3" t="inlineStr">
        <is>
          <t>주석 15 판관+운항</t>
        </is>
      </c>
    </row>
    <row r="38">
      <c r="B38" s="11" t="inlineStr">
        <is>
          <t>순금융비용 (이자비용−이자수익)</t>
        </is>
      </c>
      <c r="C38" s="134">
        <f>손익계산서_원본!$D$54-손익계산서_원본!$D$49</f>
        <v/>
      </c>
      <c r="D38" s="134">
        <f>손익계산서_원본!$G$54-손익계산서_원본!$G$49</f>
        <v/>
      </c>
      <c r="E38" s="135">
        <f>C38/원가구조_기준!$C$7</f>
        <v/>
      </c>
      <c r="I38" s="3" t="n"/>
    </row>
    <row r="39">
      <c r="B39" s="11" t="inlineStr">
        <is>
          <t>임차료</t>
        </is>
      </c>
      <c r="C39" s="134">
        <f>주석_보조자료!$E$12*1000</f>
        <v/>
      </c>
      <c r="D39" s="134">
        <f>주석_보조자료!$H$12*1000</f>
        <v/>
      </c>
      <c r="E39" s="135">
        <f>C39/원가구조_기준!$C$7</f>
        <v/>
      </c>
      <c r="I39" s="3" t="inlineStr">
        <is>
          <t>주석 15</t>
        </is>
      </c>
    </row>
    <row r="40">
      <c r="B40" s="11" t="inlineStr">
        <is>
          <t>조세공과</t>
        </is>
      </c>
      <c r="C40" s="134">
        <f>주석_보조자료!$E$11*1000</f>
        <v/>
      </c>
      <c r="D40" s="134">
        <f>주석_보조자료!$H$11*1000</f>
        <v/>
      </c>
      <c r="E40" s="135">
        <f>C40/원가구조_기준!$C$7</f>
        <v/>
      </c>
      <c r="I40" s="3" t="inlineStr">
        <is>
          <t>주석 15</t>
        </is>
      </c>
    </row>
    <row r="41">
      <c r="B41" s="11" t="inlineStr">
        <is>
          <t>감가상각비</t>
        </is>
      </c>
      <c r="C41" s="134">
        <f>주석_보조자료!$E$10*1000</f>
        <v/>
      </c>
      <c r="D41" s="134">
        <f>주석_보조자료!$H$10*1000</f>
        <v/>
      </c>
      <c r="E41" s="135">
        <f>C41/원가구조_기준!$C$7</f>
        <v/>
      </c>
      <c r="I41" s="3" t="inlineStr">
        <is>
          <t>주석 15</t>
        </is>
      </c>
    </row>
    <row r="42">
      <c r="B42" s="4" t="inlineStr">
        <is>
          <t>부가가치</t>
        </is>
      </c>
      <c r="C42" s="131">
        <f>SUM(C36:C41)</f>
        <v/>
      </c>
      <c r="D42" s="131">
        <f>SUM(D36:D41)</f>
        <v/>
      </c>
      <c r="E42" s="161">
        <f>C42/원가구조_기준!$C$7</f>
        <v/>
      </c>
    </row>
    <row r="43">
      <c r="B43" s="50" t="inlineStr">
        <is>
          <t>부가가치율 (÷ 매출액)</t>
        </is>
      </c>
      <c r="C43" s="89">
        <f>C42/원가구조_기준!$C$7</f>
        <v/>
      </c>
      <c r="D43" s="89">
        <f>D42/손익계산서_원본!$G$5</f>
        <v/>
      </c>
    </row>
    <row r="45" ht="16.5" customHeight="1">
      <c r="B45" s="24" t="inlineStr">
        <is>
          <t>5. 부가세 10% 역산 — 가능한가? (결론: 역산 불가)</t>
        </is>
      </c>
    </row>
    <row r="46">
      <c r="B46" s="122" t="inlineStr">
        <is>
          <t>항목</t>
        </is>
      </c>
      <c r="C46" s="122" t="inlineStr">
        <is>
          <t>금액</t>
        </is>
      </c>
      <c r="D46" s="122" t="inlineStr">
        <is>
          <t>비고</t>
        </is>
      </c>
      <c r="E46" s="122" t="n"/>
      <c r="F46" s="122" t="n"/>
      <c r="G46" s="122" t="n"/>
      <c r="H46" s="122" t="n"/>
      <c r="I46" s="122" t="n"/>
    </row>
    <row r="47">
      <c r="B47" s="11" t="inlineStr">
        <is>
          <t>부가세예수금 (2024.12.31)</t>
        </is>
      </c>
      <c r="C47" s="134">
        <f>주석_보조자료!$C$21</f>
        <v/>
      </c>
      <c r="D47" s="3" t="inlineStr">
        <is>
          <t>재무상태표 유동부채</t>
        </is>
      </c>
    </row>
    <row r="48">
      <c r="B48" s="11" t="inlineStr">
        <is>
          <t>부가세예수금 (2023.12.31)</t>
        </is>
      </c>
      <c r="C48" s="134">
        <f>주석_보조자료!$D$21</f>
        <v/>
      </c>
      <c r="D48" s="3" t="inlineStr">
        <is>
          <t>전기 · 감사받지 아니함</t>
        </is>
      </c>
    </row>
    <row r="49">
      <c r="B49" s="11" t="inlineStr">
        <is>
          <t>당기 증가액</t>
        </is>
      </c>
      <c r="C49" s="134">
        <f>주석_보조자료!$C$21-주석_보조자료!$D$21</f>
        <v/>
      </c>
      <c r="D49" s="3" t="inlineStr">
        <is>
          <t>현금흐름표 기재액과 일치 — 연간 매출세액이 아니라 누적 잔액</t>
        </is>
      </c>
    </row>
    <row r="50">
      <c r="B50" s="11" t="inlineStr">
        <is>
          <t>여객수입 전액 10% 과세 시 연간 매출세액</t>
        </is>
      </c>
      <c r="C50" s="134">
        <f>원가구조_기준!$C$6*0.1</f>
        <v/>
      </c>
      <c r="D50" s="3" t="inlineStr">
        <is>
          <t>참고 — 실제 과세 여부 미상</t>
        </is>
      </c>
    </row>
    <row r="51">
      <c r="B51" s="11" t="inlineStr">
        <is>
          <t>기말잔액 ÷ 연간 매출세액</t>
        </is>
      </c>
      <c r="C51" s="135">
        <f>주석_보조자료!$C$21/(원가구조_기준!$C$6*0.1)</f>
        <v/>
      </c>
      <c r="D51" s="3" t="n"/>
    </row>
    <row r="52">
      <c r="B52" s="11" t="inlineStr">
        <is>
          <t>부가세대급금 (매입세액)</t>
        </is>
      </c>
      <c r="C52" s="163" t="inlineStr">
        <is>
          <t>미공시</t>
        </is>
      </c>
      <c r="D52" s="3" t="inlineStr">
        <is>
          <t>재무상태표에 없음</t>
        </is>
      </c>
    </row>
    <row r="53">
      <c r="B53" s="11" t="inlineStr">
        <is>
          <t>부가세 비대상 비중 (인건비 + 감가상각비) ÷ 운항원가</t>
        </is>
      </c>
      <c r="C53" s="135">
        <f>(원가구조_기준!$C$20+원가구조_기준!$C$14)/원가구조_기준!$C$11</f>
        <v/>
      </c>
      <c r="D53" s="3" t="n"/>
    </row>
    <row r="55" ht="16.5" customHeight="1">
      <c r="B55" s="24" t="inlineStr">
        <is>
          <t>6. 지급수수료 점검 — 판관비 최대 단일 과목 (백만원)</t>
        </is>
      </c>
    </row>
    <row r="56">
      <c r="B56" s="122" t="inlineStr">
        <is>
          <t>판관비 과목</t>
        </is>
      </c>
      <c r="C56" s="122" t="inlineStr">
        <is>
          <t>당기 2024</t>
        </is>
      </c>
      <c r="D56" s="122" t="inlineStr">
        <is>
          <t>전기 2023</t>
        </is>
      </c>
      <c r="E56" s="122" t="inlineStr">
        <is>
          <t>증감률</t>
        </is>
      </c>
      <c r="F56" s="122" t="inlineStr">
        <is>
          <t>매출 대비</t>
        </is>
      </c>
      <c r="G56" s="122" t="n"/>
      <c r="H56" s="122" t="n"/>
      <c r="I56" s="122" t="n"/>
    </row>
    <row r="57">
      <c r="B57" s="50" t="inlineStr">
        <is>
          <t>급여영역 3과목</t>
        </is>
      </c>
      <c r="C57" s="163">
        <f>원가구조_기준!$C$16/1000000</f>
        <v/>
      </c>
      <c r="D57" s="163">
        <f>(손익계산서_원본!$G$26+손익계산서_원본!$G$27+손익계산서_원본!$G$28)/1000000</f>
        <v/>
      </c>
      <c r="E57" s="135">
        <f>C57/D57-1</f>
        <v/>
      </c>
      <c r="F57" s="135">
        <f>C57*1000000/원가구조_기준!$C$7</f>
        <v/>
      </c>
    </row>
    <row r="58">
      <c r="B58" s="11" t="inlineStr">
        <is>
          <t>지급수수료</t>
        </is>
      </c>
      <c r="C58" s="163">
        <f>손익계산서_원본!$D$42/1000000</f>
        <v/>
      </c>
      <c r="D58" s="163">
        <f>손익계산서_원본!$G$42/1000000</f>
        <v/>
      </c>
      <c r="E58" s="135">
        <f>IFERROR(C58/D58-1,"신규")</f>
        <v/>
      </c>
      <c r="F58" s="135">
        <f>C58*1000000/원가구조_기준!$C$7</f>
        <v/>
      </c>
    </row>
    <row r="59">
      <c r="B59" s="11" t="inlineStr">
        <is>
          <t>광고선전비</t>
        </is>
      </c>
      <c r="C59" s="163">
        <f>손익계산서_원본!$D$43/1000000</f>
        <v/>
      </c>
      <c r="D59" s="163">
        <f>손익계산서_원본!$G$43/1000000</f>
        <v/>
      </c>
      <c r="E59" s="135">
        <f>IFERROR(C59/D59-1,"신규")</f>
        <v/>
      </c>
      <c r="F59" s="135">
        <f>C59*1000000/원가구조_기준!$C$7</f>
        <v/>
      </c>
    </row>
    <row r="60">
      <c r="B60" s="11" t="inlineStr">
        <is>
          <t>지급임차료</t>
        </is>
      </c>
      <c r="C60" s="163">
        <f>손익계산서_원본!$D$34/1000000</f>
        <v/>
      </c>
      <c r="D60" s="163">
        <f>손익계산서_원본!$G$34/1000000</f>
        <v/>
      </c>
      <c r="E60" s="135">
        <f>IFERROR(C60/D60-1,"신규")</f>
        <v/>
      </c>
      <c r="F60" s="135">
        <f>C60*1000000/원가구조_기준!$C$7</f>
        <v/>
      </c>
    </row>
    <row r="61">
      <c r="B61" s="11" t="inlineStr">
        <is>
          <t>세금과공과</t>
        </is>
      </c>
      <c r="C61" s="163">
        <f>손익계산서_원본!$D$33/1000000</f>
        <v/>
      </c>
      <c r="D61" s="163">
        <f>손익계산서_원본!$G$33/1000000</f>
        <v/>
      </c>
      <c r="E61" s="135">
        <f>IFERROR(C61/D61-1,"신규")</f>
        <v/>
      </c>
      <c r="F61" s="135">
        <f>C61*1000000/원가구조_기준!$C$7</f>
        <v/>
      </c>
    </row>
    <row r="62">
      <c r="B62" s="11" t="inlineStr">
        <is>
          <t>수도광열비</t>
        </is>
      </c>
      <c r="C62" s="163">
        <f>손익계산서_원본!$D$32/1000000</f>
        <v/>
      </c>
      <c r="D62" s="163">
        <f>손익계산서_원본!$G$32/1000000</f>
        <v/>
      </c>
      <c r="E62" s="135">
        <f>IFERROR(C62/D62-1,"신규")</f>
        <v/>
      </c>
      <c r="F62" s="135">
        <f>C62*1000000/원가구조_기준!$C$7</f>
        <v/>
      </c>
    </row>
    <row r="63">
      <c r="B63" s="4" t="inlineStr">
        <is>
          <t>판관비 총계</t>
        </is>
      </c>
      <c r="C63" s="131">
        <f>원가구조_기준!$C$12/1000000</f>
        <v/>
      </c>
      <c r="D63" s="131">
        <f>손익계산서_원본!$G$25/1000000</f>
        <v/>
      </c>
      <c r="E63" s="161">
        <f>C63/D63-1</f>
        <v/>
      </c>
      <c r="F63" s="161">
        <f>C63*1000000/원가구조_기준!$C$7</f>
        <v/>
      </c>
    </row>
    <row r="65">
      <c r="B65" s="11" t="inlineStr">
        <is>
          <t>지급수수료 ÷ 판관비</t>
        </is>
      </c>
      <c r="C65" s="135">
        <f>원가구조_기준!$C$18/원가구조_기준!$C$12</f>
        <v/>
      </c>
    </row>
    <row r="66">
      <c r="B66" s="11" t="inlineStr">
        <is>
          <t>승객 1인당 지급수수료 (실적 역산 기준)</t>
        </is>
      </c>
      <c r="C66" s="163">
        <f>원가구조_기준!$C$18/원가구조_기준!$C$45</f>
        <v/>
      </c>
    </row>
    <row r="67">
      <c r="B67" s="11" t="inlineStr">
        <is>
          <t>└ 실현 단가 대비</t>
        </is>
      </c>
      <c r="C67" s="135">
        <f>원가구조_기준!$C$18/원가구조_기준!$C$45/원가구조_기준!$C$44</f>
        <v/>
      </c>
    </row>
    <row r="68">
      <c r="B68" s="11" t="inlineStr">
        <is>
          <t>판매채널 비용 (지급수수료 + 광고선전비) 당기</t>
        </is>
      </c>
      <c r="C68" s="163">
        <f>원가구조_기준!$C$18+손익계산서_원본!$D$43</f>
        <v/>
      </c>
    </row>
    <row r="69">
      <c r="B69" s="11" t="inlineStr">
        <is>
          <t>└ 매출 대비</t>
        </is>
      </c>
      <c r="C69" s="135">
        <f>(원가구조_기준!$C$18+손익계산서_원본!$D$43)/원가구조_기준!$C$7</f>
        <v/>
      </c>
    </row>
    <row r="70">
      <c r="B70" s="11" t="inlineStr">
        <is>
          <t>판매채널 비용 전기</t>
        </is>
      </c>
      <c r="C70" s="163">
        <f>손익계산서_원본!$G$42+손익계산서_원본!$G$43</f>
        <v/>
      </c>
    </row>
    <row r="71">
      <c r="B71" s="11" t="inlineStr">
        <is>
          <t>└ 매출 대비</t>
        </is>
      </c>
      <c r="C71" s="135">
        <f>(손익계산서_원본!$G$42+손익계산서_원본!$G$43)/손익계산서_원본!$G$5</f>
        <v/>
      </c>
    </row>
    <row r="72">
      <c r="B72" s="3" t="inlineStr">
        <is>
          <t>취항 초기 판매채널 비용 집중 — 신규 항로는 전기 수준을 상정할 필요</t>
        </is>
      </c>
    </row>
  </sheetData>
  <pageMargins left="0.75" right="0.75" top="1" bottom="1" header="0.511811023622047" footer="0.511811023622047"/>
  <pageSetup orientation="landscape" fitToHeight="0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B1:M60"/>
  <sheetViews>
    <sheetView topLeftCell="A28" zoomScale="85" zoomScaleNormal="85" workbookViewId="0">
      <selection activeCell="K33" sqref="K33"/>
    </sheetView>
  </sheetViews>
  <sheetFormatPr baseColWidth="8" defaultColWidth="8.7109375" defaultRowHeight="15"/>
  <cols>
    <col width="2" customWidth="1" min="1" max="1"/>
    <col width="26" customWidth="1" min="2" max="2"/>
    <col width="30" customWidth="1" min="3" max="3"/>
    <col width="40" customWidth="1" min="4" max="4"/>
    <col width="13" customWidth="1" min="5" max="5"/>
    <col width="15.28515625" customWidth="1" min="6" max="6"/>
    <col width="17.140625" customWidth="1" min="7" max="7"/>
    <col width="13" customWidth="1" min="8" max="11"/>
    <col width="16" customWidth="1" min="12" max="12"/>
    <col width="40" customWidth="1" min="13" max="13"/>
  </cols>
  <sheetData>
    <row r="1" ht="26.25" customHeight="1">
      <c r="B1" s="2" t="inlineStr">
        <is>
          <t>운임표 · 화물 적재 케이스 · 선박 제원</t>
        </is>
      </c>
    </row>
    <row r="2">
      <c r="B2" s="3" t="inlineStr">
        <is>
          <t>출처 자료를 지면 그대로 옮긴 값 (원자료 하드코딩 + 계산)</t>
        </is>
      </c>
    </row>
    <row r="4" ht="16.5" customHeight="1">
      <c r="B4" s="24" t="inlineStr">
        <is>
          <t>1. 대저페리 공시 운임표 — 포항↔울릉 · 엘도라도 익스프레스호 (4~10월 월~목, 공휴일 제외 · 편도 · 원)</t>
        </is>
      </c>
    </row>
    <row r="5">
      <c r="B5" s="122" t="inlineStr">
        <is>
          <t>구분</t>
        </is>
      </c>
      <c r="C5" s="122" t="inlineStr">
        <is>
          <t>이코노미 정상</t>
        </is>
      </c>
      <c r="D5" s="122" t="inlineStr">
        <is>
          <t>이코노미 할증</t>
        </is>
      </c>
      <c r="E5" s="122" t="inlineStr">
        <is>
          <t>비즈니스 정상</t>
        </is>
      </c>
      <c r="F5" s="122" t="inlineStr">
        <is>
          <t>비즈니스 할증</t>
        </is>
      </c>
      <c r="G5" s="122" t="inlineStr">
        <is>
          <t>퍼스트 정상</t>
        </is>
      </c>
      <c r="H5" s="122" t="inlineStr">
        <is>
          <t>퍼스트 할증</t>
        </is>
      </c>
    </row>
    <row r="6">
      <c r="B6" s="11" t="inlineStr">
        <is>
          <t>대인</t>
        </is>
      </c>
      <c r="C6" s="163" t="n">
        <v>81000</v>
      </c>
      <c r="D6" s="163" t="n">
        <v>88950</v>
      </c>
      <c r="E6" s="163" t="n">
        <v>121500</v>
      </c>
      <c r="F6" s="163" t="n">
        <v>133500</v>
      </c>
      <c r="G6" s="163" t="n">
        <v>171500</v>
      </c>
      <c r="H6" s="163" t="n">
        <v>188500</v>
      </c>
    </row>
    <row r="7">
      <c r="B7" s="11" t="inlineStr">
        <is>
          <t>중고생 · 군인 · 유공자</t>
        </is>
      </c>
      <c r="C7" s="163" t="n">
        <v>73050</v>
      </c>
      <c r="D7" s="163" t="n">
        <v>80250</v>
      </c>
      <c r="E7" s="163" t="n">
        <v>109500</v>
      </c>
      <c r="F7" s="163" t="n">
        <v>120300</v>
      </c>
      <c r="G7" s="163" t="n">
        <v>154500</v>
      </c>
      <c r="H7" s="163" t="n">
        <v>169800</v>
      </c>
    </row>
    <row r="8">
      <c r="B8" s="11" t="inlineStr">
        <is>
          <t>경로 · 장애경증</t>
        </is>
      </c>
      <c r="C8" s="163" t="n">
        <v>65100</v>
      </c>
      <c r="D8" s="163" t="n">
        <v>71500</v>
      </c>
      <c r="E8" s="163" t="n">
        <v>97500</v>
      </c>
      <c r="F8" s="163" t="n">
        <v>107100</v>
      </c>
      <c r="G8" s="163" t="n">
        <v>137500</v>
      </c>
      <c r="H8" s="163" t="n">
        <v>151100</v>
      </c>
    </row>
    <row r="9">
      <c r="B9" s="11" t="inlineStr">
        <is>
          <t>장애중증 (보호자동반 1인)</t>
        </is>
      </c>
      <c r="C9" s="163" t="n">
        <v>41250</v>
      </c>
      <c r="D9" s="163" t="n">
        <v>45250</v>
      </c>
      <c r="E9" s="163" t="n">
        <v>61500</v>
      </c>
      <c r="F9" s="163" t="n">
        <v>67500</v>
      </c>
      <c r="G9" s="163" t="n">
        <v>86500</v>
      </c>
      <c r="H9" s="163" t="n">
        <v>95000</v>
      </c>
    </row>
    <row r="10">
      <c r="B10" s="11" t="inlineStr">
        <is>
          <t>소아 (만1세~12세미만)</t>
        </is>
      </c>
      <c r="C10" s="163" t="n">
        <v>40500</v>
      </c>
      <c r="D10" s="163" t="n">
        <v>44500</v>
      </c>
      <c r="E10" s="163" t="n">
        <v>60750</v>
      </c>
      <c r="F10" s="163" t="n">
        <v>66750</v>
      </c>
      <c r="G10" s="163" t="n">
        <v>85750</v>
      </c>
      <c r="H10" s="163" t="n">
        <v>94250</v>
      </c>
    </row>
    <row r="11">
      <c r="B11" s="11" t="inlineStr">
        <is>
          <t>유아 (만1세미만)</t>
        </is>
      </c>
      <c r="C11" s="164" t="inlineStr">
        <is>
          <t>무임</t>
        </is>
      </c>
      <c r="D11" s="164" t="inlineStr">
        <is>
          <t>무임</t>
        </is>
      </c>
      <c r="E11" s="164" t="inlineStr">
        <is>
          <t>무임</t>
        </is>
      </c>
      <c r="F11" s="164" t="inlineStr">
        <is>
          <t>무임</t>
        </is>
      </c>
      <c r="G11" s="164" t="inlineStr">
        <is>
          <t>무임</t>
        </is>
      </c>
      <c r="H11" s="164" t="inlineStr">
        <is>
          <t>무임</t>
        </is>
      </c>
    </row>
    <row r="12">
      <c r="B12" s="4" t="inlineStr">
        <is>
          <t>배율 (대인 이코노미 정상 = 1)</t>
        </is>
      </c>
      <c r="C12" s="165">
        <f>C6/$C$6</f>
        <v/>
      </c>
      <c r="D12" s="165">
        <f>D6/$C$6</f>
        <v/>
      </c>
      <c r="E12" s="165">
        <f>E6/$C$6</f>
        <v/>
      </c>
      <c r="F12" s="165">
        <f>F6/$C$6</f>
        <v/>
      </c>
      <c r="G12" s="165">
        <f>G6/$C$6</f>
        <v/>
      </c>
      <c r="H12" s="165">
        <f>H6/$C$6</f>
        <v/>
      </c>
    </row>
    <row r="13">
      <c r="B13" s="3" t="inlineStr">
        <is>
          <t>출처: 대저페리 공식 운임안내 https://www.daezer.com/departure/departure-charge. · 편도·터미널이용료 포함 · 유류할증료·성수기 추가요금·경북도민 할인 별도</t>
        </is>
      </c>
    </row>
    <row r="14">
      <c r="B14" s="3" t="inlineStr">
        <is>
          <t>좌석 등급 배율은 공시 운임에서 뽑는다 (비즈니스 121,500÷81,000 = 1.5 · 퍼스트 171,500÷81,000 = 2.1173). 여객수입에 등급·할인이 섞여 있어 단일 운임으로 나눈 승객수는 "환산 유상여객"이다.</t>
        </is>
      </c>
    </row>
    <row r="16" ht="16.5" customHeight="1">
      <c r="B16" s="24" t="inlineStr">
        <is>
          <t>2. 선박 제원 — 참조·대조 선박 목록</t>
        </is>
      </c>
    </row>
    <row r="17" ht="27" customHeight="1">
      <c r="B17" s="122" t="inlineStr">
        <is>
          <t>선박</t>
        </is>
      </c>
      <c r="C17" s="122" t="inlineStr">
        <is>
          <t>운영사</t>
        </is>
      </c>
      <c r="D17" s="72" t="inlineStr">
        <is>
          <t>GT(톤)</t>
        </is>
      </c>
      <c r="E17" s="122" t="inlineStr">
        <is>
          <t>전장(m)</t>
        </is>
      </c>
      <c r="F17" s="122" t="inlineStr">
        <is>
          <t>전폭(m)</t>
        </is>
      </c>
      <c r="G17" s="122" t="inlineStr">
        <is>
          <t>여객정원(명)</t>
        </is>
      </c>
      <c r="H17" s="122" t="inlineStr">
        <is>
          <t>최고속력(노트)</t>
        </is>
      </c>
      <c r="I17" s="122" t="inlineStr">
        <is>
          <t>항로</t>
        </is>
      </c>
      <c r="J17" s="122" t="inlineStr">
        <is>
          <t>출처</t>
        </is>
      </c>
      <c r="K17" s="122" t="inlineStr">
        <is>
          <t>비고</t>
        </is>
      </c>
    </row>
    <row r="18">
      <c r="B18" s="11" t="inlineStr">
        <is>
          <t>엘도라도 익스프레스호</t>
        </is>
      </c>
      <c r="C18" s="11" t="inlineStr">
        <is>
          <t>대저페리</t>
        </is>
      </c>
      <c r="D18" s="55" t="n">
        <v>3158</v>
      </c>
      <c r="E18" s="166" t="n">
        <v>76.7</v>
      </c>
      <c r="F18" s="166" t="n">
        <v>20.6</v>
      </c>
      <c r="G18" s="55" t="n">
        <v>970</v>
      </c>
      <c r="H18" s="166" t="n">
        <v>50.2</v>
      </c>
      <c r="I18" s="11" t="inlineStr">
        <is>
          <t>포항↔울릉 217km</t>
        </is>
      </c>
      <c r="J18" s="11" t="inlineStr">
        <is>
          <t>대저페리 공식 선박정보 · 운항관리규정</t>
        </is>
      </c>
      <c r="K18" s="11" t="inlineStr">
        <is>
          <t>참조 선박 — 감사보고서가 이 배의 실적</t>
        </is>
      </c>
    </row>
    <row r="19">
      <c r="B19" s="11" t="inlineStr">
        <is>
          <t>산타모니카호</t>
        </is>
      </c>
      <c r="C19" s="11" t="inlineStr">
        <is>
          <t>시월드고속훼리</t>
        </is>
      </c>
      <c r="D19" s="55" t="n">
        <v>3300</v>
      </c>
      <c r="E19" s="166" t="n">
        <v>72.67</v>
      </c>
      <c r="F19" s="166" t="n">
        <v>21</v>
      </c>
      <c r="G19" s="55" t="n">
        <v>606</v>
      </c>
      <c r="H19" s="166" t="n">
        <v>45</v>
      </c>
      <c r="I19" s="11" t="inlineStr">
        <is>
          <t>부산↔하카타 213km (구상)</t>
        </is>
      </c>
      <c r="J19" s="11" t="inlineStr">
        <is>
          <t>산타모니카 운항관리규정 · index.</t>
        </is>
      </c>
      <c r="K19" s="11" t="inlineStr">
        <is>
          <t>대조 선박 — 하카타 항로 투입 구상</t>
        </is>
      </c>
    </row>
    <row r="20">
      <c r="B20" s="11" t="inlineStr">
        <is>
          <t>퀸비틀</t>
        </is>
      </c>
      <c r="C20" s="9" t="inlineStr">
        <is>
          <t>JR큐슈고속선</t>
        </is>
      </c>
      <c r="D20" s="55" t="n">
        <v>894</v>
      </c>
      <c r="E20" s="166" t="n">
        <v>83.5</v>
      </c>
      <c r="F20" s="166" t="n">
        <v>20.2</v>
      </c>
      <c r="G20" s="55" t="n">
        <v>502</v>
      </c>
      <c r="H20" s="166" t="n">
        <v>36</v>
      </c>
      <c r="I20" s="11" t="inlineStr">
        <is>
          <t>부산↔하카타 213km</t>
        </is>
      </c>
      <c r="J20" s="9" t="inlineStr">
        <is>
          <t>index.</t>
        </is>
      </c>
      <c r="K20" s="11" t="inlineStr">
        <is>
          <t>보류 — 원가 자료 미확보 (JR큐슈 자회사, 개별 재무제표 없음)</t>
        </is>
      </c>
    </row>
    <row r="21">
      <c r="B21" s="11" t="inlineStr">
        <is>
          <t>코리아프라이드호</t>
        </is>
      </c>
      <c r="C21" s="11" t="inlineStr">
        <is>
          <t>고려고속훼리</t>
        </is>
      </c>
      <c r="D21" s="55" t="n">
        <v>1600</v>
      </c>
      <c r="E21" s="166" t="n"/>
      <c r="F21" s="166" t="n"/>
      <c r="G21" s="55" t="n">
        <v>556</v>
      </c>
      <c r="H21" s="166" t="n">
        <v>40</v>
      </c>
      <c r="I21" s="11" t="inlineStr">
        <is>
          <t>인천 연안부두↔백령도 218km</t>
        </is>
      </c>
      <c r="J21" s="11" t="inlineStr">
        <is>
          <t>경인일보 2022.08</t>
        </is>
      </c>
      <c r="K21" s="11" t="inlineStr">
        <is>
          <t>보류 — 다수 항로·선박 운용으로 이 배의 손익 분리 불가</t>
        </is>
      </c>
    </row>
    <row r="23" ht="16.5" customHeight="1">
      <c r="B23" s="24" t="inlineStr">
        <is>
          <t>3. 시월드고속훼리 차량 운임표 — 진도↔제주 · 편도 (원) · 2024</t>
        </is>
      </c>
    </row>
    <row r="24">
      <c r="B24" s="122" t="inlineStr">
        <is>
          <t>차종</t>
        </is>
      </c>
      <c r="C24" s="122" t="inlineStr">
        <is>
          <t>예시 차량</t>
        </is>
      </c>
      <c r="D24" s="122" t="inlineStr">
        <is>
          <t>월~토 일반</t>
        </is>
      </c>
      <c r="E24" s="122" t="inlineStr">
        <is>
          <t>월~토 인터넷</t>
        </is>
      </c>
      <c r="F24" s="122" t="inlineStr">
        <is>
          <t>일·공휴일 일반</t>
        </is>
      </c>
      <c r="G24" s="122" t="inlineStr">
        <is>
          <t>일·공휴일 인터넷</t>
        </is>
      </c>
      <c r="H24" s="122" t="inlineStr">
        <is>
          <t>케이스 적용</t>
        </is>
      </c>
    </row>
    <row r="25">
      <c r="B25" s="11" t="inlineStr">
        <is>
          <t>국산 경·소형차</t>
        </is>
      </c>
      <c r="C25" s="11" t="inlineStr">
        <is>
          <t>모닝·스파크·캐스퍼·다마스 등</t>
        </is>
      </c>
      <c r="D25" s="163" t="n">
        <v>111910</v>
      </c>
      <c r="E25" s="163" t="n">
        <v>107660</v>
      </c>
      <c r="F25" s="163" t="n">
        <v>118260</v>
      </c>
      <c r="G25" s="163" t="n">
        <v>114010</v>
      </c>
      <c r="H25" s="11" t="inlineStr">
        <is>
          <t>소형</t>
        </is>
      </c>
    </row>
    <row r="26">
      <c r="B26" s="11" t="inlineStr">
        <is>
          <t>라보·타우너 공차</t>
        </is>
      </c>
      <c r="C26" s="11" t="n"/>
      <c r="D26" s="163" t="n">
        <v>111910</v>
      </c>
      <c r="E26" s="163" t="n">
        <v>107660</v>
      </c>
      <c r="F26" s="163" t="n">
        <v>118260</v>
      </c>
      <c r="G26" s="163" t="n">
        <v>114010</v>
      </c>
      <c r="H26" s="11" t="n"/>
    </row>
    <row r="27">
      <c r="B27" s="11" t="inlineStr">
        <is>
          <t>라보·타우너 영차</t>
        </is>
      </c>
      <c r="C27" s="11" t="n"/>
      <c r="D27" s="163" t="n">
        <v>124730</v>
      </c>
      <c r="E27" s="163" t="n">
        <v>120460</v>
      </c>
      <c r="F27" s="163" t="n">
        <v>134020</v>
      </c>
      <c r="G27" s="163" t="n">
        <v>129750</v>
      </c>
      <c r="H27" s="11" t="n"/>
    </row>
    <row r="28">
      <c r="B28" s="11" t="inlineStr">
        <is>
          <t>준중형</t>
        </is>
      </c>
      <c r="C28" s="11" t="inlineStr">
        <is>
          <t>엑센트·베르나·벨로스터·클릭 등</t>
        </is>
      </c>
      <c r="D28" s="163" t="n">
        <v>126220</v>
      </c>
      <c r="E28" s="163" t="n">
        <v>121440</v>
      </c>
      <c r="F28" s="163" t="n">
        <v>133480</v>
      </c>
      <c r="G28" s="163" t="n">
        <v>128700</v>
      </c>
      <c r="H28" s="11" t="n"/>
    </row>
    <row r="29">
      <c r="B29" s="11" t="inlineStr">
        <is>
          <t>중형</t>
        </is>
      </c>
      <c r="C29" s="11" t="inlineStr">
        <is>
          <t>아반떼·I30·SM3·티볼리·아이오닉 등</t>
        </is>
      </c>
      <c r="D29" s="163" t="n">
        <v>140440</v>
      </c>
      <c r="E29" s="163" t="n">
        <v>135130</v>
      </c>
      <c r="F29" s="163" t="n">
        <v>148600</v>
      </c>
      <c r="G29" s="163" t="n">
        <v>143290</v>
      </c>
      <c r="H29" s="11" t="inlineStr">
        <is>
          <t>중형</t>
        </is>
      </c>
    </row>
    <row r="30">
      <c r="B30" s="11" t="inlineStr">
        <is>
          <t>중형(대)</t>
        </is>
      </c>
      <c r="C30" s="11" t="inlineStr">
        <is>
          <t>쏘나타·말리부·SM5·SM6·K5 등</t>
        </is>
      </c>
      <c r="D30" s="163" t="n">
        <v>154650</v>
      </c>
      <c r="E30" s="163" t="n">
        <v>148810</v>
      </c>
      <c r="F30" s="163" t="n">
        <v>163720</v>
      </c>
      <c r="G30" s="163" t="n">
        <v>157880</v>
      </c>
      <c r="H30" s="11" t="n"/>
    </row>
    <row r="31">
      <c r="B31" s="11" t="inlineStr">
        <is>
          <t>대형</t>
        </is>
      </c>
      <c r="C31" s="11" t="inlineStr">
        <is>
          <t>그랜저·에쿠스·체어맨·알페온 등</t>
        </is>
      </c>
      <c r="D31" s="163" t="n">
        <v>168860</v>
      </c>
      <c r="E31" s="163" t="n">
        <v>162490</v>
      </c>
      <c r="F31" s="163" t="n">
        <v>178840</v>
      </c>
      <c r="G31" s="163" t="n">
        <v>172470</v>
      </c>
      <c r="H31" s="11" t="inlineStr">
        <is>
          <t>대형</t>
        </is>
      </c>
    </row>
    <row r="32">
      <c r="B32" s="11" t="inlineStr">
        <is>
          <t>대형 SUV</t>
        </is>
      </c>
      <c r="C32" s="11" t="inlineStr">
        <is>
          <t>아이오닉5·싼타페·쏘렌토·투산 등</t>
        </is>
      </c>
      <c r="D32" s="163" t="n">
        <v>168860</v>
      </c>
      <c r="E32" s="163" t="n">
        <v>162490</v>
      </c>
      <c r="F32" s="163" t="n">
        <v>178840</v>
      </c>
      <c r="G32" s="163" t="n">
        <v>172470</v>
      </c>
      <c r="H32" s="9" t="inlineStr">
        <is>
          <t>(대형과 동일)</t>
        </is>
      </c>
    </row>
    <row r="33">
      <c r="B33" s="11" t="inlineStr">
        <is>
          <t>대형 RV</t>
        </is>
      </c>
      <c r="C33" s="11" t="inlineStr">
        <is>
          <t>렉스턴·모하비·카니발 등</t>
        </is>
      </c>
      <c r="D33" s="163" t="n">
        <v>197490</v>
      </c>
      <c r="E33" s="163" t="n">
        <v>190050</v>
      </c>
      <c r="F33" s="163" t="n">
        <v>209280</v>
      </c>
      <c r="G33" s="163" t="n">
        <v>201840</v>
      </c>
      <c r="H33" s="11" t="inlineStr">
        <is>
          <t>대형RV</t>
        </is>
      </c>
    </row>
    <row r="34">
      <c r="B34" s="11" t="inlineStr">
        <is>
          <t>초대형</t>
        </is>
      </c>
      <c r="C34" s="11" t="inlineStr">
        <is>
          <t>렉스턴스포츠 칸·스타리아·봉고3 등</t>
        </is>
      </c>
      <c r="D34" s="163" t="n">
        <v>225920</v>
      </c>
      <c r="E34" s="163" t="n">
        <v>217420</v>
      </c>
      <c r="F34" s="163" t="n">
        <v>239520</v>
      </c>
      <c r="G34" s="163" t="n">
        <v>231020</v>
      </c>
      <c r="H34" s="11" t="n"/>
    </row>
    <row r="35">
      <c r="B35" s="11" t="inlineStr">
        <is>
          <t>수입 소형</t>
        </is>
      </c>
      <c r="C35" s="11" t="n"/>
      <c r="D35" s="163" t="n">
        <v>151520</v>
      </c>
      <c r="E35" s="163" t="n">
        <v>145470</v>
      </c>
      <c r="F35" s="163" t="n">
        <v>158780</v>
      </c>
      <c r="G35" s="163" t="n">
        <v>152730</v>
      </c>
      <c r="H35" s="11" t="n"/>
    </row>
    <row r="36">
      <c r="B36" s="11" t="inlineStr">
        <is>
          <t>수입 중형</t>
        </is>
      </c>
      <c r="C36" s="11" t="n"/>
      <c r="D36" s="163" t="n">
        <v>183050</v>
      </c>
      <c r="E36" s="163" t="n">
        <v>175790</v>
      </c>
      <c r="F36" s="163" t="n">
        <v>192120</v>
      </c>
      <c r="G36" s="163" t="n">
        <v>184860</v>
      </c>
      <c r="H36" s="11" t="n"/>
    </row>
    <row r="37">
      <c r="B37" s="11" t="inlineStr">
        <is>
          <t>수입 대형/SUV</t>
        </is>
      </c>
      <c r="C37" s="11" t="n"/>
      <c r="D37" s="163" t="n">
        <v>210560</v>
      </c>
      <c r="E37" s="163" t="n">
        <v>202100</v>
      </c>
      <c r="F37" s="163" t="n">
        <v>220540</v>
      </c>
      <c r="G37" s="163" t="n">
        <v>212080</v>
      </c>
      <c r="H37" s="11" t="n"/>
    </row>
    <row r="38">
      <c r="B38" s="11" t="inlineStr">
        <is>
          <t>수입 초대형/SUV</t>
        </is>
      </c>
      <c r="C38" s="11" t="n"/>
      <c r="D38" s="163" t="n">
        <v>246000</v>
      </c>
      <c r="E38" s="163" t="n">
        <v>236310</v>
      </c>
      <c r="F38" s="163" t="n">
        <v>258700</v>
      </c>
      <c r="G38" s="163" t="n">
        <v>249010</v>
      </c>
      <c r="H38" s="11" t="n"/>
    </row>
    <row r="39">
      <c r="B39" s="11" t="inlineStr">
        <is>
          <t>수입 픽업/밴</t>
        </is>
      </c>
      <c r="C39" s="11" t="n"/>
      <c r="D39" s="163" t="n">
        <v>289570</v>
      </c>
      <c r="E39" s="163" t="n">
        <v>278610</v>
      </c>
      <c r="F39" s="163" t="n">
        <v>306800</v>
      </c>
      <c r="G39" s="163" t="n">
        <v>295840</v>
      </c>
      <c r="H39" s="11" t="n"/>
    </row>
    <row r="40">
      <c r="B40" s="9" t="inlineStr">
        <is>
          <t>1톤 트럭 공차</t>
        </is>
      </c>
      <c r="C40" s="11" t="n"/>
      <c r="D40" s="163" t="n">
        <v>161360</v>
      </c>
      <c r="E40" s="163" t="n">
        <v>161360</v>
      </c>
      <c r="F40" s="163" t="n">
        <v>172240</v>
      </c>
      <c r="G40" s="163" t="n">
        <v>172240</v>
      </c>
      <c r="H40" s="9" t="inlineStr">
        <is>
          <t>1톤공차</t>
        </is>
      </c>
    </row>
    <row r="41">
      <c r="B41" s="9" t="inlineStr">
        <is>
          <t>1톤 트럭 영차</t>
        </is>
      </c>
      <c r="C41" s="11" t="n"/>
      <c r="D41" s="163" t="n">
        <v>196430</v>
      </c>
      <c r="E41" s="163" t="n">
        <v>196430</v>
      </c>
      <c r="F41" s="163" t="n">
        <v>211520</v>
      </c>
      <c r="G41" s="163" t="n">
        <v>211520</v>
      </c>
      <c r="H41" s="9" t="inlineStr">
        <is>
          <t>1톤영차</t>
        </is>
      </c>
    </row>
    <row r="42">
      <c r="B42" s="11" t="inlineStr">
        <is>
          <t>이륜 100cc 이하</t>
        </is>
      </c>
      <c r="C42" s="11" t="n"/>
      <c r="D42" s="163" t="n">
        <v>22110</v>
      </c>
      <c r="E42" s="163" t="n">
        <v>22110</v>
      </c>
      <c r="F42" s="163" t="n">
        <v>23020</v>
      </c>
      <c r="G42" s="163" t="n">
        <v>23020</v>
      </c>
      <c r="H42" s="11" t="n"/>
    </row>
    <row r="43">
      <c r="B43" s="11" t="inlineStr">
        <is>
          <t>이륜 101~200cc</t>
        </is>
      </c>
      <c r="C43" s="11" t="n"/>
      <c r="D43" s="163" t="n">
        <v>33230</v>
      </c>
      <c r="E43" s="163" t="n">
        <v>33230</v>
      </c>
      <c r="F43" s="163" t="n">
        <v>35040</v>
      </c>
      <c r="G43" s="163" t="n">
        <v>35040</v>
      </c>
      <c r="H43" s="11" t="n"/>
    </row>
    <row r="44">
      <c r="B44" s="11" t="inlineStr">
        <is>
          <t>이륜 201~400cc</t>
        </is>
      </c>
      <c r="C44" s="11" t="n"/>
      <c r="D44" s="163" t="n">
        <v>41440</v>
      </c>
      <c r="E44" s="163" t="n">
        <v>41440</v>
      </c>
      <c r="F44" s="163" t="n">
        <v>44160</v>
      </c>
      <c r="G44" s="163" t="n">
        <v>44160</v>
      </c>
      <c r="H44" s="11" t="inlineStr">
        <is>
          <t>이륜(~400cc)</t>
        </is>
      </c>
    </row>
    <row r="45">
      <c r="B45" s="11" t="inlineStr">
        <is>
          <t>이륜 401~600cc</t>
        </is>
      </c>
      <c r="C45" s="11" t="n"/>
      <c r="D45" s="163" t="n">
        <v>69650</v>
      </c>
      <c r="E45" s="163" t="n">
        <v>69650</v>
      </c>
      <c r="F45" s="163" t="n">
        <v>73280</v>
      </c>
      <c r="G45" s="163" t="n">
        <v>73280</v>
      </c>
      <c r="H45" s="11" t="n"/>
    </row>
    <row r="46">
      <c r="B46" s="11" t="inlineStr">
        <is>
          <t>이륜 601~800cc</t>
        </is>
      </c>
      <c r="C46" s="11" t="n"/>
      <c r="D46" s="163" t="n">
        <v>92570</v>
      </c>
      <c r="E46" s="163" t="n">
        <v>92570</v>
      </c>
      <c r="F46" s="163" t="n">
        <v>97100</v>
      </c>
      <c r="G46" s="163" t="n">
        <v>97100</v>
      </c>
      <c r="H46" s="11" t="n"/>
    </row>
    <row r="47">
      <c r="B47" s="11" t="inlineStr">
        <is>
          <t>이륜 801cc 이상</t>
        </is>
      </c>
      <c r="C47" s="11" t="n"/>
      <c r="D47" s="163" t="n">
        <v>126971</v>
      </c>
      <c r="E47" s="163" t="n">
        <v>126971</v>
      </c>
      <c r="F47" s="163" t="n">
        <v>131500</v>
      </c>
      <c r="G47" s="163" t="n">
        <v>131500</v>
      </c>
      <c r="H47" s="11" t="n"/>
    </row>
    <row r="48">
      <c r="B48" s="11" t="inlineStr">
        <is>
          <t>캐러밴/트레일러</t>
        </is>
      </c>
      <c r="C48" s="11" t="inlineStr">
        <is>
          <t>진도-제주 노선 불가</t>
        </is>
      </c>
      <c r="D48" s="37" t="inlineStr">
        <is>
          <t>불가</t>
        </is>
      </c>
      <c r="E48" s="37" t="inlineStr">
        <is>
          <t>불가</t>
        </is>
      </c>
      <c r="F48" s="37" t="inlineStr">
        <is>
          <t>불가</t>
        </is>
      </c>
      <c r="G48" s="37" t="inlineStr">
        <is>
          <t>불가</t>
        </is>
      </c>
      <c r="H48" s="11" t="n"/>
    </row>
    <row r="49">
      <c r="B49" s="11" t="inlineStr">
        <is>
          <t>캠퍼트레일러</t>
        </is>
      </c>
      <c r="C49" s="11" t="inlineStr">
        <is>
          <t>사전 문의 후 예약</t>
        </is>
      </c>
      <c r="D49" s="37" t="inlineStr">
        <is>
          <t>불가</t>
        </is>
      </c>
      <c r="E49" s="37" t="inlineStr">
        <is>
          <t>불가</t>
        </is>
      </c>
      <c r="F49" s="37" t="inlineStr">
        <is>
          <t>불가</t>
        </is>
      </c>
      <c r="G49" s="37" t="inlineStr">
        <is>
          <t>불가</t>
        </is>
      </c>
      <c r="H49" s="11" t="n"/>
    </row>
    <row r="50">
      <c r="B50" s="3" t="inlineStr">
        <is>
          <t>★ 케이스 수입 산정에는 "월~토 일반가" 적용. 캐러밴·캠퍼트레일러는 진도-제주 노선 불가 항목이라 운임 미산정, 일반화물은 차량 운임표에 없어 별도 협의 항목(미산정).</t>
        </is>
      </c>
    </row>
    <row r="52" ht="16.5" customHeight="1">
      <c r="B52" s="24" t="inlineStr">
        <is>
          <t>4. 산타모니카호 적재 케이스 (운항관리규정 29p · Loading Conditions) → 항차당 최대 차량 운임 수입</t>
        </is>
      </c>
    </row>
    <row r="53">
      <c r="B53" s="122" t="inlineStr">
        <is>
          <t>케이스</t>
        </is>
      </c>
      <c r="C53" s="122" t="inlineStr">
        <is>
          <t>적재(t)</t>
        </is>
      </c>
      <c r="D53" s="122" t="inlineStr">
        <is>
          <t>구성</t>
        </is>
      </c>
      <c r="E53" s="122" t="inlineStr">
        <is>
          <t>소형</t>
        </is>
      </c>
      <c r="F53" s="122" t="inlineStr">
        <is>
          <t>중형</t>
        </is>
      </c>
      <c r="G53" s="122" t="inlineStr">
        <is>
          <t>대형</t>
        </is>
      </c>
      <c r="H53" s="122" t="inlineStr">
        <is>
          <t>대형RV</t>
        </is>
      </c>
      <c r="I53" s="72" t="inlineStr">
        <is>
          <t>1톤공차</t>
        </is>
      </c>
      <c r="J53" s="72" t="inlineStr">
        <is>
          <t>1톤영차</t>
        </is>
      </c>
      <c r="K53" s="122" t="inlineStr">
        <is>
          <t>이륜(~400cc)</t>
        </is>
      </c>
      <c r="L53" s="122" t="inlineStr">
        <is>
          <t>항차당 수입(원)</t>
        </is>
      </c>
      <c r="M53" s="122" t="inlineStr">
        <is>
          <t>운임 미산정 항목</t>
        </is>
      </c>
    </row>
    <row r="54">
      <c r="B54" s="34" t="n"/>
      <c r="C54" s="34" t="n"/>
      <c r="D54" s="4" t="inlineStr">
        <is>
          <t>적용 운임 (월~토 일반) →</t>
        </is>
      </c>
      <c r="E54" s="133">
        <f>$D$25</f>
        <v/>
      </c>
      <c r="F54" s="133">
        <f>$D$29</f>
        <v/>
      </c>
      <c r="G54" s="133">
        <f>$D$31</f>
        <v/>
      </c>
      <c r="H54" s="133">
        <f>$D$33</f>
        <v/>
      </c>
      <c r="I54" s="133">
        <f>$D$40</f>
        <v/>
      </c>
      <c r="J54" s="133">
        <f>$D$41</f>
        <v/>
      </c>
      <c r="K54" s="133">
        <f>$D$44</f>
        <v/>
      </c>
    </row>
    <row r="55">
      <c r="B55" s="167" t="n">
        <v>1</v>
      </c>
      <c r="C55" s="146" t="n">
        <v>130.26</v>
      </c>
      <c r="D55" s="11" t="inlineStr">
        <is>
          <t>대형차 46 · 소형 4 · 이륜차 14 · 일반화물</t>
        </is>
      </c>
      <c r="E55" s="168" t="n">
        <v>4</v>
      </c>
      <c r="F55" s="168" t="n">
        <v>0</v>
      </c>
      <c r="G55" s="168" t="n">
        <v>46</v>
      </c>
      <c r="H55" s="168" t="n">
        <v>0</v>
      </c>
      <c r="I55" s="168" t="n">
        <v>0</v>
      </c>
      <c r="J55" s="168" t="n">
        <v>0</v>
      </c>
      <c r="K55" s="168" t="n">
        <v>14</v>
      </c>
      <c r="L55" s="139">
        <f>SUMPRODUCT($E$54:$K$54,E55:K55)</f>
        <v/>
      </c>
      <c r="M55" s="11" t="inlineStr">
        <is>
          <t>일반화물 2단위 — 운임 별도 (미산정)</t>
        </is>
      </c>
    </row>
    <row r="56">
      <c r="B56" s="167" t="n">
        <v>2</v>
      </c>
      <c r="C56" s="146" t="n">
        <v>111.563</v>
      </c>
      <c r="D56" s="11" t="inlineStr">
        <is>
          <t>중형차 53 · 소형 4 · 이륜차 14 · 일반화물</t>
        </is>
      </c>
      <c r="E56" s="168" t="n">
        <v>4</v>
      </c>
      <c r="F56" s="168" t="n">
        <v>53</v>
      </c>
      <c r="G56" s="168" t="n">
        <v>0</v>
      </c>
      <c r="H56" s="168" t="n">
        <v>0</v>
      </c>
      <c r="I56" s="168" t="n">
        <v>0</v>
      </c>
      <c r="J56" s="168" t="n">
        <v>0</v>
      </c>
      <c r="K56" s="168" t="n">
        <v>14</v>
      </c>
      <c r="L56" s="139">
        <f>SUMPRODUCT($E$54:$K$54,E56:K56)</f>
        <v/>
      </c>
      <c r="M56" s="11" t="inlineStr">
        <is>
          <t>일반화물 2단위 — 운임 별도 (미산정)</t>
        </is>
      </c>
    </row>
    <row r="57">
      <c r="B57" s="167" t="n">
        <v>3</v>
      </c>
      <c r="C57" s="146" t="n">
        <v>101.617</v>
      </c>
      <c r="D57" s="11" t="inlineStr">
        <is>
          <t>소형차 79 · 이륜차 14 · 일반화물</t>
        </is>
      </c>
      <c r="E57" s="168" t="n">
        <v>79</v>
      </c>
      <c r="F57" s="168" t="n">
        <v>0</v>
      </c>
      <c r="G57" s="168" t="n">
        <v>0</v>
      </c>
      <c r="H57" s="168" t="n">
        <v>0</v>
      </c>
      <c r="I57" s="168" t="n">
        <v>0</v>
      </c>
      <c r="J57" s="168" t="n">
        <v>0</v>
      </c>
      <c r="K57" s="168" t="n">
        <v>14</v>
      </c>
      <c r="L57" s="139">
        <f>SUMPRODUCT($E$54:$K$54,E57:K57)</f>
        <v/>
      </c>
      <c r="M57" s="11" t="inlineStr">
        <is>
          <t>일반화물 2단위 — 운임 별도 (미산정)</t>
        </is>
      </c>
    </row>
    <row r="58">
      <c r="B58" s="167" t="n">
        <v>4</v>
      </c>
      <c r="C58" s="146" t="n">
        <v>150.762</v>
      </c>
      <c r="D58" s="9" t="inlineStr">
        <is>
          <t>1톤트럭 38 · 소형 4 · 캐러밴 20 · 일반화물 ★최대</t>
        </is>
      </c>
      <c r="E58" s="168" t="n">
        <v>4</v>
      </c>
      <c r="F58" s="168" t="n">
        <v>0</v>
      </c>
      <c r="G58" s="168" t="n">
        <v>0</v>
      </c>
      <c r="H58" s="168" t="n">
        <v>0</v>
      </c>
      <c r="I58" s="168" t="n">
        <v>38</v>
      </c>
      <c r="J58" s="168" t="n">
        <v>0</v>
      </c>
      <c r="K58" s="168" t="n">
        <v>0</v>
      </c>
      <c r="L58" s="139">
        <f>SUMPRODUCT($E$54:$K$54,E58:K58)</f>
        <v/>
      </c>
      <c r="M58" s="11" t="inlineStr">
        <is>
          <t>캐러밴 20대 · 일반화물 2단위 — 운임 별도 (미산정)</t>
        </is>
      </c>
    </row>
    <row r="59">
      <c r="B59" s="167" t="n">
        <v>5</v>
      </c>
      <c r="C59" s="146" t="n">
        <v>129.065</v>
      </c>
      <c r="D59" s="11" t="inlineStr">
        <is>
          <t>캠퍼트레일러 10 · 1톤트럭 5 · 대형 3 · 이륜 6 · 화물</t>
        </is>
      </c>
      <c r="E59" s="168" t="n">
        <v>0</v>
      </c>
      <c r="F59" s="168" t="n">
        <v>0</v>
      </c>
      <c r="G59" s="168" t="n">
        <v>3</v>
      </c>
      <c r="H59" s="168" t="n">
        <v>0</v>
      </c>
      <c r="I59" s="168" t="n">
        <v>0</v>
      </c>
      <c r="J59" s="168" t="n">
        <v>5</v>
      </c>
      <c r="K59" s="168" t="n">
        <v>6</v>
      </c>
      <c r="L59" s="139">
        <f>SUMPRODUCT($E$54:$K$54,E59:K59)</f>
        <v/>
      </c>
      <c r="M59" s="11" t="inlineStr">
        <is>
          <t>캠퍼트레일러 10대 · 일반화물 — 운임 별도 (미산정)</t>
        </is>
      </c>
    </row>
    <row r="60">
      <c r="B60" s="3" t="inlineStr">
        <is>
          <t>차량 중량 역산 검증: Case 2 중형 53대 × 1.607t = 85.171t → 총계 111.563t 일치. 운임표에 요금이 있는 차종만 집계 — 미산정 항목은 대조 손익계산서에서 "+α"(이익 여분)로 본다.</t>
        </is>
      </c>
    </row>
  </sheetData>
  <pageMargins left="0.75" right="0.75" top="1" bottom="1" header="0.511811023622047" footer="0.511811023622047"/>
  <pageSetup orientation="landscape" fitToHeight="0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B1:D45"/>
  <sheetViews>
    <sheetView zoomScale="85" zoomScaleNormal="85" workbookViewId="0">
      <selection activeCell="I18" sqref="I18"/>
    </sheetView>
  </sheetViews>
  <sheetFormatPr baseColWidth="8" defaultColWidth="8.7109375" defaultRowHeight="15"/>
  <cols>
    <col width="2" customWidth="1" min="1" max="1"/>
    <col width="30" customWidth="1" min="2" max="2"/>
    <col width="100" customWidth="1" min="3" max="3"/>
    <col width="60" customWidth="1" min="4" max="4"/>
  </cols>
  <sheetData>
    <row r="1" ht="26.25" customHeight="1">
      <c r="B1" s="2" t="inlineStr">
        <is>
          <t>한계 · 자료 출처 · 용어</t>
        </is>
      </c>
    </row>
    <row r="2">
      <c r="B2" s="3" t="inlineStr">
        <is>
          <t>이 분석이 말하지 않는 것, 그리고 무엇으로 말하는가</t>
        </is>
      </c>
    </row>
    <row r="4" ht="16.5" customHeight="1">
      <c r="B4" s="24" t="inlineStr">
        <is>
          <t>1. 한계 — 왜 이 표본 하나인가</t>
        </is>
      </c>
    </row>
    <row r="5">
      <c r="B5" s="122" t="inlineStr">
        <is>
          <t>구분</t>
        </is>
      </c>
      <c r="C5" s="122" t="inlineStr">
        <is>
          <t>내용</t>
        </is>
      </c>
      <c r="D5" s="122" t="inlineStr">
        <is>
          <t>근거</t>
        </is>
      </c>
    </row>
    <row r="6" ht="45" customHeight="1">
      <c r="B6" s="97" t="inlineStr">
        <is>
          <t>표본 기간 — 2024년 한 해</t>
        </is>
      </c>
      <c r="C6" s="98" t="inlineStr">
        <is>
          <t>정상 운항 연간 실적은 제3기(2024) 하나다. 2025년은 울릉군 결손금 지급 지연 → 회생 신청(2025.01) → 개시(02.20) → 인가(2026.06.23) → 종결(09.01)의 비정상 구간이라 쓰지 않았다.</t>
        </is>
      </c>
      <c r="D6" s="98" t="inlineStr">
        <is>
          <t>아시아경제 https://www.asiae.co.kr/article/2025060110584999063 · 아주경제 https://www.ajunews.com/view/20260902140349550</t>
        </is>
      </c>
    </row>
    <row r="7" ht="45" customHeight="1">
      <c r="B7" s="97" t="inlineStr">
        <is>
          <t>외형 적자의 구조 — 감가상각 · 이자</t>
        </is>
      </c>
      <c r="C7" s="98" t="inlineStr">
        <is>
          <t>선가 670억 → 감가상각 3,349백만 → 영업손익 △2,080백만. 이자비용 4,009백만이 얹혀 순손실 6,040백만. 감가상각을 되돌린 EBITDA는 +1,270백만 — 현금 기준 흑자.</t>
        </is>
      </c>
      <c r="D7" s="98" t="inlineStr">
        <is>
          <t>감사보고서</t>
        </is>
      </c>
    </row>
    <row r="8" ht="45" customHeight="1">
      <c r="B8" s="97" t="inlineStr">
        <is>
          <t>수리비 — 미반영</t>
        </is>
      </c>
      <c r="C8" s="98" t="inlineStr">
        <is>
          <t>엘도라도호는 선령이 낮아 보증기간·보험금 청구로 처리돼 수리비가 잡히지 않았다. 산타모니카호는 선령 5년을 넘겨 곧 발생할 것으로 보이나 추정 근거가 없어 0으로 두었다. 실제 수리비가 붙으면 운항원가가 그만큼 올라간다.</t>
        </is>
      </c>
      <c r="D8" s="98" t="inlineStr">
        <is>
          <t>감사보고서</t>
        </is>
      </c>
    </row>
    <row r="9" ht="45" customHeight="1">
      <c r="B9" s="97" t="inlineStr">
        <is>
          <t>지표 갱신 — 2026년 이후</t>
        </is>
      </c>
      <c r="C9" s="98" t="inlineStr">
        <is>
          <t>결손금은 2024년 1~3월분 지급 · 연간 고정지원금 전환으로 정리됐고 회생도 종결됐다. 2026년 이후 실적이 쌓이면 그것을 기준선으로 바꾼다.</t>
        </is>
      </c>
      <c r="D9" s="98" t="inlineStr">
        <is>
          <t>경북일보 https://www.kyongbuk.co.kr/news/articleView.?idxno=4082968</t>
        </is>
      </c>
    </row>
    <row r="10" ht="45" customHeight="1">
      <c r="B10" s="97" t="inlineStr">
        <is>
          <t>산타모니카호 — 현 항로 적자</t>
        </is>
      </c>
      <c r="C10" s="98" t="inlineStr">
        <is>
          <t>현재 제주–추자–진도 항로에서 연 약 15억원의 적자를 내고 있고, 엔젤호로 대체하려는 움직임이 있는 것으로 보인다. 이 파일의 대조 선박은 이 배를 하카타 항로에 투입한다는 가정이지 지금의 운항 실적이 아니다 — 현 항로의 적자는 반영돼 있지 않다.</t>
        </is>
      </c>
      <c r="D10" s="98" t="inlineStr">
        <is>
          <t>뉴시스 https://v.daum.net/v/qptPsmUZCY</t>
        </is>
      </c>
    </row>
    <row r="11" ht="45" customHeight="1">
      <c r="B11" s="97" t="inlineStr">
        <is>
          <t>퀸비틀 — 분석 불가</t>
        </is>
      </c>
      <c r="C11" s="99" t="inlineStr">
        <is>
          <t>JR큐슈 자회사라 개별 재무제표가 없다. 2024.02 침수 은폐 → 08 운항 중단 → 12 사업 철수 → 청산 수순. 선박은 2025.04 팬스타 매각.</t>
        </is>
      </c>
      <c r="D11" s="98" t="inlineStr">
        <is>
          <t>쿠키뉴스 https://www.kukinews.com/article/view/kuk202412270007 · 부산일보 https://www.busan.com/view/busan/view.php?code=2025042018220861524</t>
        </is>
      </c>
    </row>
    <row r="12" ht="45" customHeight="1">
      <c r="B12" s="97" t="inlineStr">
        <is>
          <t>코리아프라이드 — 분석 불가</t>
        </is>
      </c>
      <c r="C12" s="98" t="inlineStr">
        <is>
          <t>인천–백령 218km로 거리는 비슷하나, 고려고속훼리가 여러 항로에 다수 선박을 운용해 이 배·이 항로의 손익을 분리할 수 없다. 제원만 확보 — 1,600톤급 · 정원 556명 · 2022.09 취항.</t>
        </is>
      </c>
      <c r="D12" s="98" t="inlineStr">
        <is>
          <t>경인일보 https://www.kyeongin.com/article/1604448</t>
        </is>
      </c>
    </row>
    <row r="14" ht="45" customHeight="1">
      <c r="B14" s="97" t="inlineStr">
        <is>
          <t>왜 대저페리인가 — 유일한 표본</t>
        </is>
      </c>
      <c r="C14" s="98" t="inlineStr">
        <is>
          <t>포항–울릉 217km vs 부산–하카타 213km, 4km 차이. 산타모니카호의 자매선 엘도라도호 1척만 운용하는 단일 항로 선사라 손익계산서가 곧 그 배의 손익이다. 국제항로의 출입국·대리점·항만비, 화물·면세 수입, 선박금융은 다르다 — 절대 금액이 아니라 구조와 민감도를 읽는 자료.</t>
        </is>
      </c>
      <c r="D14" s="98" t="inlineStr">
        <is>
          <t>항로 자료 (index.)</t>
        </is>
      </c>
    </row>
    <row r="15" ht="45" customHeight="1">
      <c r="B15" s="100" t="inlineStr">
        <is>
          <t>화면과의 차이</t>
        </is>
      </c>
      <c r="C15" s="98" t="inlineStr">
        <is>
          <t>① 시뮬레이션 승객수: 화면과 같이 실현단가 88,950원(이코노미 81,000 + 유류할증 7,950)으로 나눈 144,058명을 기본값으로 둔다. 81,000원으로만 나눈 158,197명은 유류할증이 빠진 값이라 쓰지 않는다. ② 대조 선박 "인원수로 직접 입력"은 연간 승객수 한 칸으로 단순화. ③ 선박 추가 기능은 운임_화물_선박 시트 선박 표에 행을 더하는 방식.</t>
        </is>
      </c>
      <c r="D15" s="98" t="inlineStr">
        <is>
          <t>이 파일</t>
        </is>
      </c>
    </row>
    <row r="17" ht="16.5" customHeight="1">
      <c r="B17" s="24" t="inlineStr">
        <is>
          <t>2. 자료 출처</t>
        </is>
      </c>
    </row>
    <row r="18">
      <c r="B18" s="122" t="inlineStr">
        <is>
          <t>자료</t>
        </is>
      </c>
      <c r="C18" s="122" t="inlineStr">
        <is>
          <t>이 파일에서 쓰인 곳</t>
        </is>
      </c>
      <c r="D18" s="122" t="inlineStr">
        <is>
          <t>원본</t>
        </is>
      </c>
    </row>
    <row r="19" ht="30" customHeight="1">
      <c r="B19" s="97" t="inlineStr">
        <is>
          <t>대저페리 제3기(2024) 감사보고서 — 신한회계법인 · 2025.03.31 · 의견거절</t>
        </is>
      </c>
      <c r="C19" s="98" t="inlineStr">
        <is>
          <t>분석의 뿌리 — 손익계산서 원본 전량, 주석 4 · 7 · 15 · 18 · 19, 재무상태표 부가세예수금, 현금흐름표</t>
        </is>
      </c>
      <c r="D19" s="99" t="inlineStr">
        <is>
          <t>[대저페리]감사보고서(2025.04.09).pdf · DART https://dart.fss.or.kr/</t>
        </is>
      </c>
    </row>
    <row r="20" ht="30" customHeight="1">
      <c r="B20" s="97" t="inlineStr">
        <is>
          <t>대저페리 공식 운임안내 — 포항↔울릉 · 엘도라도 익스프레스호</t>
        </is>
      </c>
      <c r="C20" s="98" t="inlineStr">
        <is>
          <t>이코노미 81,000원 기준 운임과 등급 배율 · 할인 운임</t>
        </is>
      </c>
      <c r="D20" s="99" t="inlineStr">
        <is>
          <t>https://www.daezer.com/departure/departure-charge.</t>
        </is>
      </c>
    </row>
    <row r="21" ht="30" customHeight="1">
      <c r="B21" s="97" t="inlineStr">
        <is>
          <t>울릉크루즈 보도자료 — 연간 운항 실적</t>
        </is>
      </c>
      <c r="C21" s="98" t="inlineStr">
        <is>
          <t>연간 편도 항차수 498항차의 근거</t>
        </is>
      </c>
      <c r="D21" s="99" t="inlineStr">
        <is>
          <t>https://www.ulcruise.co.kr/www/aboutus/press?mode=view&amp;idx=5807</t>
        </is>
      </c>
    </row>
    <row r="22" ht="30" customHeight="1">
      <c r="B22" s="97" t="inlineStr">
        <is>
          <t>시월드고속훼리 차량 운임표 (2024) — 진도↔제주 · 편도</t>
        </is>
      </c>
      <c r="C22" s="98" t="inlineStr">
        <is>
          <t>산타모니카 적재 케이스의 화물 수입 산정</t>
        </is>
      </c>
      <c r="D22" s="98" t="inlineStr">
        <is>
          <t>운임_화물_선박 시트 수록</t>
        </is>
      </c>
    </row>
    <row r="23" ht="30" customHeight="1">
      <c r="B23" s="97" t="inlineStr">
        <is>
          <t>엘도라도 익스프레스호 운항관리규정</t>
        </is>
      </c>
      <c r="C23" s="98" t="inlineStr">
        <is>
          <t>정원 970명 · 최고 50.2노트 · GT 3,158톤</t>
        </is>
      </c>
      <c r="D23" s="98" t="inlineStr">
        <is>
          <t>엘도라도 익스프레스호 운항관리규정.pdf</t>
        </is>
      </c>
    </row>
    <row r="24" ht="30" customHeight="1">
      <c r="B24" s="97" t="inlineStr">
        <is>
          <t>산타모니카호 운항관리규정</t>
        </is>
      </c>
      <c r="C24" s="98" t="inlineStr">
        <is>
          <t>정원 606명 · 최고 45노트 · GT 3,300톤 · 적재 케이스(29p)</t>
        </is>
      </c>
      <c r="D24" s="98" t="inlineStr">
        <is>
          <t>산타모니카운항관리규정.pdf</t>
        </is>
      </c>
    </row>
    <row r="25" ht="30" customHeight="1">
      <c r="B25" s="100" t="inlineStr">
        <is>
          <t>fuel_price.json — Bunker Index 부산항</t>
        </is>
      </c>
      <c r="C25" s="98" t="inlineStr">
        <is>
          <t>현재 연료 단가 $/MT · 환율 (2026-10-05: LSMGO 1,390$/MT · 1,343.98원/$). 설정값 D46 은 수동 기본값 1,325$/MT 이고, "실제 시가" 모드일 때 이 파일 값을 쓴다.</t>
        </is>
      </c>
      <c r="D25" s="99" t="inlineStr">
        <is>
          <t>https://www.bunkerindex.com/prices/port.php?p=109&amp;n=busan-republic-of-korea</t>
        </is>
      </c>
    </row>
    <row r="26" ht="30" customHeight="1">
      <c r="B26" s="97" t="inlineStr">
        <is>
          <t>부산–일본 항로 자료 (index.)</t>
        </is>
      </c>
      <c r="C26" s="98" t="inlineStr">
        <is>
          <t>산타모니카호·퀸비틀 제원의 출처</t>
        </is>
      </c>
      <c r="D26" s="99" t="inlineStr">
        <is>
          <t>index.</t>
        </is>
      </c>
    </row>
    <row r="29" ht="16.5" customHeight="1">
      <c r="B29" s="24" t="inlineStr">
        <is>
          <t>3. 용어</t>
        </is>
      </c>
    </row>
    <row r="30">
      <c r="B30" s="122" t="inlineStr">
        <is>
          <t>말</t>
        </is>
      </c>
      <c r="C30" s="122" t="inlineStr">
        <is>
          <t>뜻</t>
        </is>
      </c>
      <c r="D30" s="122" t="n"/>
    </row>
    <row r="31">
      <c r="B31" s="50" t="inlineStr">
        <is>
          <t>항차</t>
        </is>
      </c>
      <c r="C31" s="11" t="inlineStr">
        <is>
          <t>편도 한 번의 운항. 왕복하면 2항차다.</t>
        </is>
      </c>
    </row>
    <row r="32">
      <c r="B32" s="50" t="inlineStr">
        <is>
          <t>승선율</t>
        </is>
      </c>
      <c r="C32" s="11" t="inlineStr">
        <is>
          <t>승객수 ÷ (정원 × 항차수). 정원을 몇 % 채웠는가.</t>
        </is>
      </c>
    </row>
    <row r="33">
      <c r="B33" s="50" t="inlineStr">
        <is>
          <t>고정비</t>
        </is>
      </c>
      <c r="C33" s="11" t="inlineStr">
        <is>
          <t>승객·항차와 무관하게 나가는 돈 (인건비 · 감가상각비).</t>
        </is>
      </c>
    </row>
    <row r="34">
      <c r="B34" s="50" t="inlineStr">
        <is>
          <t>준변동비</t>
        </is>
      </c>
      <c r="C34" s="11" t="inlineStr">
        <is>
          <t>항차에 붙는 돈. 배를 더 띄워야 늘고, 같은 배에 사람을 더 태운다고 늘지 않는다 (연료 · 항비).</t>
        </is>
      </c>
    </row>
    <row r="35">
      <c r="B35" s="50" t="inlineStr">
        <is>
          <t>변동비</t>
        </is>
      </c>
      <c r="C35" s="11" t="inlineStr">
        <is>
          <t>승객 한 명에 붙는 돈 (예약·결제 수수료).</t>
        </is>
      </c>
    </row>
    <row r="36">
      <c r="B36" s="50" t="inlineStr">
        <is>
          <t>공헌이익률</t>
        </is>
      </c>
      <c r="C36" s="11" t="inlineStr">
        <is>
          <t>운임에서 변동비를 뺀 몫의 비율. 고정비·준변동비를 메우러 가는 돈.</t>
        </is>
      </c>
    </row>
    <row r="37">
      <c r="B37" s="50" t="inlineStr">
        <is>
          <t>손익분기 (BEP)</t>
        </is>
      </c>
      <c r="C37" s="11" t="inlineStr">
        <is>
          <t>영업이익이 0이 되는 승객수. 이보다 적으면 적자.</t>
        </is>
      </c>
    </row>
    <row r="38">
      <c r="B38" s="54" t="inlineStr">
        <is>
          <t>EBITDA</t>
        </is>
      </c>
      <c r="C38" s="11" t="inlineStr">
        <is>
          <t>영업이익 + 감가상각비. 현금이 나가지 않는 비용을 되돌린 값으로 현금흐름에 가깝다.</t>
        </is>
      </c>
    </row>
    <row r="39">
      <c r="B39" s="54" t="inlineStr">
        <is>
          <t>DSCR</t>
        </is>
      </c>
      <c r="C39" s="9" t="inlineStr">
        <is>
          <t>CFADS ÷ 거치 후 원리금. 1.0 미만이면 그해 빚을 못 갚는다. 거치 중에는 이자만 내 부담이 없어 보이므로 원금이 붙는 해로 잰다.</t>
        </is>
      </c>
    </row>
    <row r="40">
      <c r="B40" s="50" t="inlineStr">
        <is>
          <t>환산 유상여객</t>
        </is>
      </c>
      <c r="C40" s="11" t="inlineStr">
        <is>
          <t>여객수입 ÷ 실현 단가. 등급·할인이 섞여 있어 실제 탑승 인원이 아니다.</t>
        </is>
      </c>
    </row>
    <row r="41">
      <c r="B41" s="50" t="inlineStr">
        <is>
          <t>선적율</t>
        </is>
      </c>
      <c r="C41" s="11" t="inlineStr">
        <is>
          <t>화물 적재 가능량 대비 실제 싣는 비율.</t>
        </is>
      </c>
    </row>
    <row r="42">
      <c r="B42" s="50" t="inlineStr">
        <is>
          <t>선체이자</t>
        </is>
      </c>
      <c r="C42" s="11" t="inlineStr">
        <is>
          <t>선박 차입 이자를 운항원가에 넣는 우리 회사 방식. 10개년 표에서 사용.</t>
        </is>
      </c>
    </row>
    <row r="43">
      <c r="B43" s="50" t="inlineStr">
        <is>
          <t>CFADS (부채상환가능재원)</t>
        </is>
      </c>
      <c r="C43" s="11" t="inlineStr">
        <is>
          <t>EBITDA − 법인세 − 우발 수리유보금 − 선박 대체 유보금. 그해 빚 갚는 데 실제로 쓸 수 있는 현금.</t>
        </is>
      </c>
    </row>
    <row r="44">
      <c r="B44" s="50" t="inlineStr">
        <is>
          <t>상환 후 잉여현금</t>
        </is>
      </c>
      <c r="C44" s="11" t="inlineStr">
        <is>
          <t>CFADS − 그 해 원리금. 주주에게 돌아갈 수 있는 몫. DSCR 1.0 초과와 같은 뜻이다.</t>
        </is>
      </c>
    </row>
    <row r="45">
      <c r="B45" s="50" t="inlineStr">
        <is>
          <t>톤세</t>
        </is>
      </c>
      <c r="C45" s="11" t="inlineStr">
        <is>
          <t>조세특례제한법 §104-10 — 외항 해운기업은 순톤수 × 운항일수로 의제이익을 계산해 법인세율을 매긴다. 적자여도 발생한다.</t>
        </is>
      </c>
    </row>
  </sheetData>
  <pageMargins left="0.75" right="0.75" top="1" bottom="1" header="0.511811023622047" footer="0.511811023622047"/>
  <pageSetup orientation="landscape" fitToHeight="0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B1:G33"/>
  <sheetViews>
    <sheetView zoomScale="85" zoomScaleNormal="85" workbookViewId="0">
      <selection activeCell="D31" sqref="D31"/>
    </sheetView>
  </sheetViews>
  <sheetFormatPr baseColWidth="8" defaultColWidth="8.7109375" defaultRowHeight="15"/>
  <cols>
    <col width="2" customWidth="1" min="1" max="1"/>
    <col width="58" customWidth="1" min="2" max="2"/>
    <col width="18" customWidth="1" min="3" max="4"/>
    <col width="14" customWidth="1" min="5" max="5"/>
    <col width="10" customWidth="1" min="6" max="6"/>
    <col width="26" customWidth="1" min="7" max="7"/>
  </cols>
  <sheetData>
    <row r="1" ht="26.25" customHeight="1">
      <c r="B1" s="2" t="inlineStr">
        <is>
          <t>검산 — 보고서 내부 정합성 · 계산 경로 일치</t>
        </is>
      </c>
    </row>
    <row r="2">
      <c r="B2" s="3" t="inlineStr">
        <is>
          <t>주석은 천원 공시 → ±1,000원은 반올림 차이로 정상</t>
        </is>
      </c>
    </row>
    <row r="4" ht="26.25" customHeight="1">
      <c r="B4" s="122" t="inlineStr">
        <is>
          <t>검증 항목</t>
        </is>
      </c>
      <c r="C4" s="122" t="inlineStr">
        <is>
          <t>계산값</t>
        </is>
      </c>
      <c r="D4" s="122" t="inlineStr">
        <is>
          <t>보고서 기재 / 비교값</t>
        </is>
      </c>
      <c r="E4" s="122" t="inlineStr">
        <is>
          <t>차이</t>
        </is>
      </c>
      <c r="F4" s="122" t="inlineStr">
        <is>
          <t>판정</t>
        </is>
      </c>
      <c r="G4" s="122" t="inlineStr">
        <is>
          <t>출처</t>
        </is>
      </c>
    </row>
    <row r="5">
      <c r="B5" s="11" t="inlineStr">
        <is>
          <t>급여 합계 (판관 직원급여 + 운항 급여)</t>
        </is>
      </c>
      <c r="C5" s="163">
        <f>손익계산서_원본!$D$26+손익계산서_원본!$D$12</f>
        <v/>
      </c>
      <c r="D5" s="163">
        <f>주석_보조자료!$E$6*1000</f>
        <v/>
      </c>
      <c r="E5" s="157">
        <f>C5-D5</f>
        <v/>
      </c>
      <c r="F5" s="37">
        <f>IF(ABS(E5)&lt;=1000,"OK","확인")</f>
        <v/>
      </c>
      <c r="G5" s="11" t="inlineStr">
        <is>
          <t>주석 15</t>
        </is>
      </c>
    </row>
    <row r="6">
      <c r="B6" s="11" t="inlineStr">
        <is>
          <t>퇴직급여 합계 (판관 + 운항)</t>
        </is>
      </c>
      <c r="C6" s="163">
        <f>손익계산서_원본!$D$27+손익계산서_원본!$D$13</f>
        <v/>
      </c>
      <c r="D6" s="163">
        <f>주석_보조자료!$E$7*1000</f>
        <v/>
      </c>
      <c r="E6" s="157">
        <f>C6-D6</f>
        <v/>
      </c>
      <c r="F6" s="37">
        <f>IF(ABS(E6)&lt;=1000,"OK","확인")</f>
        <v/>
      </c>
      <c r="G6" s="11" t="inlineStr">
        <is>
          <t>주석 15</t>
        </is>
      </c>
    </row>
    <row r="7">
      <c r="B7" s="11" t="inlineStr">
        <is>
          <t>복리후생비 합계 (판관 + 운항)</t>
        </is>
      </c>
      <c r="C7" s="163">
        <f>손익계산서_원본!$D$28+손익계산서_원본!$D$14</f>
        <v/>
      </c>
      <c r="D7" s="163">
        <f>주석_보조자료!$E$8*1000</f>
        <v/>
      </c>
      <c r="E7" s="157">
        <f>C7-D7</f>
        <v/>
      </c>
      <c r="F7" s="37">
        <f>IF(ABS(E7)&lt;=1000,"OK","확인")</f>
        <v/>
      </c>
      <c r="G7" s="11" t="inlineStr">
        <is>
          <t>주석 15</t>
        </is>
      </c>
    </row>
    <row r="8">
      <c r="B8" s="11" t="inlineStr">
        <is>
          <t>전사 인건비 3과목 합계</t>
        </is>
      </c>
      <c r="C8" s="163">
        <f>원가구조_기준!$C$21</f>
        <v/>
      </c>
      <c r="D8" s="163">
        <f>주석_보조자료!$E$9*1000</f>
        <v/>
      </c>
      <c r="E8" s="157">
        <f>C8-D8</f>
        <v/>
      </c>
      <c r="F8" s="37">
        <f>IF(ABS(E8)&lt;=1000,"OK","확인")</f>
        <v/>
      </c>
      <c r="G8" s="11" t="inlineStr">
        <is>
          <t>주석 15</t>
        </is>
      </c>
    </row>
    <row r="9">
      <c r="B9" s="11" t="inlineStr">
        <is>
          <t>퇴직급여충당부채 당기 전입액</t>
        </is>
      </c>
      <c r="C9" s="163">
        <f>손익계산서_원본!$D$27+손익계산서_원본!$D$13</f>
        <v/>
      </c>
      <c r="D9" s="163">
        <f>주석_보조자료!$C$19</f>
        <v/>
      </c>
      <c r="E9" s="157">
        <f>C9-D9</f>
        <v/>
      </c>
      <c r="F9" s="37">
        <f>IF(ABS(E9)&lt;=1000,"OK","확인")</f>
        <v/>
      </c>
      <c r="G9" s="11" t="inlineStr">
        <is>
          <t>주석 7 — 1,193원 차이는 보고서 자체 (도 ⚠)</t>
        </is>
      </c>
    </row>
    <row r="10">
      <c r="B10" s="11" t="inlineStr">
        <is>
          <t>판관비 세부과목 합계</t>
        </is>
      </c>
      <c r="C10" s="163">
        <f>손익계산서_원본!$D$25</f>
        <v/>
      </c>
      <c r="D10" s="163" t="n">
        <v>2979322526</v>
      </c>
      <c r="E10" s="157">
        <f>C10-D10</f>
        <v/>
      </c>
      <c r="F10" s="37">
        <f>IF(ABS(E10)&lt;=1000,"OK","확인")</f>
        <v/>
      </c>
      <c r="G10" s="11" t="inlineStr">
        <is>
          <t>손익계산서 Ⅳ 기재</t>
        </is>
      </c>
    </row>
    <row r="11">
      <c r="B11" s="11" t="inlineStr">
        <is>
          <t>매출 세부 합계</t>
        </is>
      </c>
      <c r="C11" s="163">
        <f>손익계산서_원본!$D$5</f>
        <v/>
      </c>
      <c r="D11" s="163" t="n">
        <v>13146609166</v>
      </c>
      <c r="E11" s="157">
        <f>C11-D11</f>
        <v/>
      </c>
      <c r="F11" s="37">
        <f>IF(ABS(E11)&lt;=1000,"OK","확인")</f>
        <v/>
      </c>
      <c r="G11" s="11" t="inlineStr">
        <is>
          <t>손익계산서 Ⅰ 기재</t>
        </is>
      </c>
    </row>
    <row r="12">
      <c r="B12" s="11" t="inlineStr">
        <is>
          <t>운항원가 세부 합계 (주석 15 ×1,000 + 차액)</t>
        </is>
      </c>
      <c r="C12" s="163">
        <f>SUM(손익계산서_원본!D12:D18)</f>
        <v/>
      </c>
      <c r="D12" s="163">
        <f>손익계산서_원본!$D$11</f>
        <v/>
      </c>
      <c r="E12" s="157">
        <f>C12-D12</f>
        <v/>
      </c>
      <c r="F12" s="37">
        <f>IF(ABS(E12)&lt;=1000,"OK","확인")</f>
        <v/>
      </c>
      <c r="G12" s="11" t="inlineStr">
        <is>
          <t>손익계산서 Ⅱ</t>
        </is>
      </c>
    </row>
    <row r="13">
      <c r="B13" s="11" t="inlineStr">
        <is>
          <t>운항원가 세부 합계 · 전기</t>
        </is>
      </c>
      <c r="C13" s="163">
        <f>SUM(손익계산서_원본!G12:G18)</f>
        <v/>
      </c>
      <c r="D13" s="163">
        <f>손익계산서_원본!$G$11</f>
        <v/>
      </c>
      <c r="E13" s="157">
        <f>C13-D13</f>
        <v/>
      </c>
      <c r="F13" s="37">
        <f>IF(ABS(E13)&lt;=1000,"OK","확인")</f>
        <v/>
      </c>
      <c r="G13" s="11" t="inlineStr">
        <is>
          <t>손익계산서 Ⅱ</t>
        </is>
      </c>
    </row>
    <row r="14">
      <c r="B14" s="11" t="inlineStr">
        <is>
          <t>운항기타 세목 합계 = 운항기타</t>
        </is>
      </c>
      <c r="C14" s="163">
        <f>SUM(손익계산서_원본!D19:D23)</f>
        <v/>
      </c>
      <c r="D14" s="163">
        <f>손익계산서_원본!$D$18</f>
        <v/>
      </c>
      <c r="E14" s="157">
        <f>C14-D14</f>
        <v/>
      </c>
      <c r="F14" s="37">
        <f>IF(ABS(E14)&lt;=1,"OK","확인")</f>
        <v/>
      </c>
      <c r="G14" s="11" t="inlineStr">
        <is>
          <t>가정 비율 정규화</t>
        </is>
      </c>
    </row>
    <row r="15">
      <c r="B15" s="11" t="inlineStr">
        <is>
          <t>매출총이익 (Ⅰ − Ⅱ)</t>
        </is>
      </c>
      <c r="C15" s="163">
        <f>손익계산서_원본!$D$24</f>
        <v/>
      </c>
      <c r="D15" s="163" t="n">
        <v>899800417</v>
      </c>
      <c r="E15" s="157">
        <f>C15-D15</f>
        <v/>
      </c>
      <c r="F15" s="37">
        <f>IF(ABS(E15)&lt;=1000,"OK","확인")</f>
        <v/>
      </c>
      <c r="G15" s="11" t="inlineStr">
        <is>
          <t>손익계산서 Ⅲ 기재</t>
        </is>
      </c>
    </row>
    <row r="16">
      <c r="B16" s="11" t="inlineStr">
        <is>
          <t>영업손익 (Ⅲ − Ⅳ)</t>
        </is>
      </c>
      <c r="C16" s="163">
        <f>손익계산서_원본!$D$45</f>
        <v/>
      </c>
      <c r="D16" s="163" t="n">
        <v>-2079522109</v>
      </c>
      <c r="E16" s="157">
        <f>C16-D16</f>
        <v/>
      </c>
      <c r="F16" s="37">
        <f>IF(ABS(E16)&lt;=1000,"OK","확인")</f>
        <v/>
      </c>
      <c r="G16" s="11" t="inlineStr">
        <is>
          <t>손익계산서 Ⅴ 기재</t>
        </is>
      </c>
    </row>
    <row r="17">
      <c r="B17" s="11" t="inlineStr">
        <is>
          <t>영업외수익</t>
        </is>
      </c>
      <c r="C17" s="163">
        <f>손익계산서_원본!$D$48</f>
        <v/>
      </c>
      <c r="D17" s="163" t="n">
        <v>81389927</v>
      </c>
      <c r="E17" s="157">
        <f>C17-D17</f>
        <v/>
      </c>
      <c r="F17" s="37">
        <f>IF(ABS(E17)&lt;=1000,"OK","확인")</f>
        <v/>
      </c>
      <c r="G17" s="11" t="inlineStr">
        <is>
          <t>손익계산서 Ⅵ 기재</t>
        </is>
      </c>
    </row>
    <row r="18">
      <c r="B18" s="11" t="inlineStr">
        <is>
          <t>영업외비용</t>
        </is>
      </c>
      <c r="C18" s="163">
        <f>손익계산서_원본!$D$53</f>
        <v/>
      </c>
      <c r="D18" s="163" t="n">
        <v>4042055930</v>
      </c>
      <c r="E18" s="157">
        <f>C18-D18</f>
        <v/>
      </c>
      <c r="F18" s="37">
        <f>IF(ABS(E18)&lt;=1000,"OK","확인")</f>
        <v/>
      </c>
      <c r="G18" s="11" t="inlineStr">
        <is>
          <t>손익계산서 Ⅶ 기재</t>
        </is>
      </c>
    </row>
    <row r="19">
      <c r="B19" s="11" t="inlineStr">
        <is>
          <t>법인세비용차감전순손실</t>
        </is>
      </c>
      <c r="C19" s="163">
        <f>손익계산서_원본!$D$58</f>
        <v/>
      </c>
      <c r="D19" s="163" t="n">
        <v>-6040188112</v>
      </c>
      <c r="E19" s="157">
        <f>C19-D19</f>
        <v/>
      </c>
      <c r="F19" s="37">
        <f>IF(ABS(E19)&lt;=1000,"OK","확인")</f>
        <v/>
      </c>
      <c r="G19" s="11" t="inlineStr">
        <is>
          <t>손익계산서 Ⅷ 기재 (순손실)</t>
        </is>
      </c>
    </row>
    <row r="20">
      <c r="B20" s="11" t="inlineStr">
        <is>
          <t>당기순손실</t>
        </is>
      </c>
      <c r="C20" s="163">
        <f>손익계산서_원본!$D$60</f>
        <v/>
      </c>
      <c r="D20" s="163" t="n">
        <v>-6040188112</v>
      </c>
      <c r="E20" s="157">
        <f>C20-D20</f>
        <v/>
      </c>
      <c r="F20" s="37">
        <f>IF(ABS(E20)&lt;=1000,"OK","확인")</f>
        <v/>
      </c>
      <c r="G20" s="11" t="inlineStr">
        <is>
          <t>손익계산서 Ⅹ 기재 (순손실)</t>
        </is>
      </c>
    </row>
    <row r="21">
      <c r="B21" s="11" t="inlineStr">
        <is>
          <t>전기 영업손익</t>
        </is>
      </c>
      <c r="C21" s="163">
        <f>손익계산서_원본!$G$45</f>
        <v/>
      </c>
      <c r="D21" s="163" t="n">
        <v>-3448723814</v>
      </c>
      <c r="E21" s="157">
        <f>C21-D21</f>
        <v/>
      </c>
      <c r="F21" s="37">
        <f>IF(ABS(E21)&lt;=1000,"OK","확인")</f>
        <v/>
      </c>
      <c r="G21" s="11" t="inlineStr">
        <is>
          <t>제2기 (감사받지 아니함)</t>
        </is>
      </c>
    </row>
    <row r="22">
      <c r="B22" s="11" t="inlineStr">
        <is>
          <t>전기 당기순손실</t>
        </is>
      </c>
      <c r="C22" s="163">
        <f>손익계산서_원본!$G$60</f>
        <v/>
      </c>
      <c r="D22" s="163" t="n">
        <v>-5776402130</v>
      </c>
      <c r="E22" s="157">
        <f>C22-D22</f>
        <v/>
      </c>
      <c r="F22" s="37">
        <f>IF(ABS(E22)&lt;=1000,"OK","확인")</f>
        <v/>
      </c>
      <c r="G22" s="11" t="inlineStr">
        <is>
          <t>제2기</t>
        </is>
      </c>
    </row>
    <row r="23">
      <c r="B23" s="9" t="inlineStr">
        <is>
          <t>EBITDA (Ⅴ + 감가상각비)</t>
        </is>
      </c>
      <c r="C23" s="163">
        <f>손익계산서_원본!$D$45+손익계산서_원본!$D$15</f>
        <v/>
      </c>
      <c r="D23" s="163">
        <f>손익계산서_원본!$D$47</f>
        <v/>
      </c>
      <c r="E23" s="157">
        <f>C23-D23</f>
        <v/>
      </c>
      <c r="F23" s="37">
        <f>IF(ABS(E23)&lt;=1,"OK","확인")</f>
        <v/>
      </c>
      <c r="G23" s="11" t="inlineStr">
        <is>
          <t>보완 행</t>
        </is>
      </c>
    </row>
    <row r="24">
      <c r="B24" s="11" t="inlineStr">
        <is>
          <t>조정 소계 (순손익 + 이자 + 법인세 + 감가상각비)</t>
        </is>
      </c>
      <c r="C24" s="163">
        <f>손익계산서_원본!$D$60+손익계산서_원본!$D$54+N(손익계산서_원본!$D$59)+손익계산서_원본!$D$15</f>
        <v/>
      </c>
      <c r="D24" s="163">
        <f>손익계산서_원본!$D$65</f>
        <v/>
      </c>
      <c r="E24" s="157">
        <f>C24-D24</f>
        <v/>
      </c>
      <c r="F24" s="37">
        <f>IF(ABS(E24)&lt;=1,"OK","확인")</f>
        <v/>
      </c>
      <c r="G24" s="11" t="inlineStr">
        <is>
          <t>보완 행</t>
        </is>
      </c>
    </row>
    <row r="25">
      <c r="B25" s="11" t="inlineStr">
        <is>
          <t>조정 후 EBITDA = Ⅴ 기준 EBITDA</t>
        </is>
      </c>
      <c r="C25" s="163">
        <f>손익계산서_원본!$D$68</f>
        <v/>
      </c>
      <c r="D25" s="163">
        <f>손익계산서_원본!$D$47</f>
        <v/>
      </c>
      <c r="E25" s="157">
        <f>C25-D25</f>
        <v/>
      </c>
      <c r="F25" s="37">
        <f>IF(ABS(E25)&lt;=1,"OK","확인")</f>
        <v/>
      </c>
      <c r="G25" s="11" t="inlineStr">
        <is>
          <t>두 경로 일치</t>
        </is>
      </c>
    </row>
    <row r="26">
      <c r="B26" s="11" t="inlineStr">
        <is>
          <t>대조: 손익계산서 영업이익 = CVP 모형 영업이익 (현재 승객수)</t>
        </is>
      </c>
      <c r="C26" s="163">
        <f>대조선박_손익!$C$87</f>
        <v/>
      </c>
      <c r="D26" s="163">
        <f>목표이익률_지표!$C$77</f>
        <v/>
      </c>
      <c r="E26" s="157">
        <f>C26-D26</f>
        <v/>
      </c>
      <c r="F26" s="37">
        <f>IF(ABS(E26)&lt;=1,"OK","확인")</f>
        <v/>
      </c>
      <c r="G26" s="11" t="inlineStr">
        <is>
          <t>모든 원가 포함 · 기본 성격일 때 일치</t>
        </is>
      </c>
    </row>
    <row r="27">
      <c r="B27" s="11" t="inlineStr">
        <is>
          <t>대조: 10개년 y+0 영업이익 = 단일연도 영업이익 − 선체이자</t>
        </is>
      </c>
      <c r="C27" s="163">
        <f>'10개년_예상'!$D$48*1000000</f>
        <v/>
      </c>
      <c r="D27" s="163">
        <f>대조선박_손익!$C$87-대조선박_손익!$C$90</f>
        <v/>
      </c>
      <c r="E27" s="157">
        <f>C27-D27</f>
        <v/>
      </c>
      <c r="F27" s="37">
        <f>IF(ABS(E27)&lt;=1,"OK","확인")</f>
        <v/>
      </c>
      <c r="G27" s="11" t="inlineStr">
        <is>
          <t>선체이자 운항원가 반영</t>
        </is>
      </c>
    </row>
    <row r="28">
      <c r="B28" s="11" t="inlineStr">
        <is>
          <t>대조: 10개년 y+0 매출 = 단일연도 매출</t>
        </is>
      </c>
      <c r="C28" s="163">
        <f>'10개년_예상'!$D$7*1000000</f>
        <v/>
      </c>
      <c r="D28" s="163">
        <f>대조선박_손익!$C$48</f>
        <v/>
      </c>
      <c r="E28" s="157">
        <f>C28-D28</f>
        <v/>
      </c>
      <c r="F28" s="37">
        <f>IF(ABS(E28)&lt;=1,"OK","확인")</f>
        <v/>
      </c>
      <c r="G28" s="11" t="n"/>
    </row>
    <row r="29">
      <c r="B29" s="11" t="inlineStr">
        <is>
          <t>대조: 운항기타 = 세목 합계</t>
        </is>
      </c>
      <c r="C29" s="163">
        <f>대조선박_손익!$C$59</f>
        <v/>
      </c>
      <c r="D29" s="163">
        <f>SUM(대조선박_손익!C60:C64)</f>
        <v/>
      </c>
      <c r="E29" s="157">
        <f>C29-D29</f>
        <v/>
      </c>
      <c r="F29" s="37">
        <f>IF(ABS(E29)&lt;=1,"OK","확인")</f>
        <v/>
      </c>
      <c r="G29" s="11" t="n"/>
    </row>
    <row r="30">
      <c r="B30" s="11" t="inlineStr">
        <is>
          <t>차입금 스케줄 원금 합계 = 차입금</t>
        </is>
      </c>
      <c r="C30" s="163">
        <f>SUM(차입금_상환!F20:F34)</f>
        <v/>
      </c>
      <c r="D30" s="163">
        <f>차입금_상환!$C$6</f>
        <v/>
      </c>
      <c r="E30" s="157">
        <f>C30-D30</f>
        <v/>
      </c>
      <c r="F30" s="37">
        <f>IF(ABS(E30)&lt;=1,"OK","확인")</f>
        <v/>
      </c>
      <c r="G30" s="11" t="inlineStr">
        <is>
          <t>상환기간 ≤ 40년</t>
        </is>
      </c>
    </row>
    <row r="32">
      <c r="B32" s="18" t="inlineStr">
        <is>
          <t>전체 판정</t>
        </is>
      </c>
      <c r="F32" s="96">
        <f>COUNTIF(F5:F30,"OK")&amp;" / 26 OK"</f>
        <v/>
      </c>
    </row>
    <row r="33">
      <c r="B33" s="21" t="inlineStr">
        <is>
          <t>"대조: 손익계산서 = CVP 모형" 은 원가 항목을 X로 빼거나 성격을 바꾸면 달라질 수 있다 (도 같은 규칙).</t>
        </is>
      </c>
    </row>
  </sheetData>
  <pageMargins left="0.75" right="0.75" top="1" bottom="1" header="0.511811023622047" footer="0.511811023622047"/>
  <pageSetup orientation="landscape" fitToHeight="0" horizontalDpi="300" verticalDpi="300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F21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8" customWidth="1" min="3" max="3"/>
    <col width="20" customWidth="1" min="4" max="4"/>
    <col width="20" customWidth="1" min="5" max="5"/>
    <col width="60" customWidth="1" min="6" max="6"/>
  </cols>
  <sheetData>
    <row r="1" ht="20.25" customHeight="1">
      <c r="B1" s="186" t="inlineStr">
        <is>
          <t>당사기준 1인당 급여 분해 — 56~58기 3개년 평균 참고</t>
        </is>
      </c>
    </row>
    <row r="2">
      <c r="B2" s="187" t="inlineStr">
        <is>
          <t>HTML 손익계산서 상단 체크박스 "당사기준 1인당 단가" ON 시 적용. 대조선박·10개년 뷰의 급여영역 전체가 1인당 × 설정 인원으로 재계산된다.</t>
        </is>
      </c>
    </row>
    <row r="4" ht="16.5" customHeight="1">
      <c r="B4" s="188" t="inlineStr">
        <is>
          <t>A. 지상직 (판매관리비) — 1인당 급여 분해</t>
        </is>
      </c>
    </row>
    <row r="6">
      <c r="B6" s="189" t="inlineStr">
        <is>
          <t>과목</t>
        </is>
      </c>
      <c r="C6" s="189" t="inlineStr">
        <is>
          <t>당사기준 1인당 (원)</t>
        </is>
      </c>
      <c r="D6" s="189" t="inlineStr">
        <is>
          <t>기준자료 30명 적용 (원)</t>
        </is>
      </c>
      <c r="E6" s="189" t="inlineStr">
        <is>
          <t>대조선박 3명 적용 (원)</t>
        </is>
      </c>
      <c r="F6" s="189" t="inlineStr">
        <is>
          <t>근거 · 비고</t>
        </is>
      </c>
    </row>
    <row r="7">
      <c r="B7" s="187" t="inlineStr">
        <is>
          <t>직원급여</t>
        </is>
      </c>
      <c r="C7" s="190" t="n">
        <v>52904499</v>
      </c>
      <c r="D7" s="190" t="n">
        <v>1587134970</v>
      </c>
      <c r="E7" s="190" t="n">
        <v>158713497</v>
      </c>
      <c r="F7" s="191" t="inlineStr">
        <is>
          <t>급여영역 주요 과목</t>
        </is>
      </c>
    </row>
    <row r="8">
      <c r="B8" s="187" t="inlineStr">
        <is>
          <t>상여금</t>
        </is>
      </c>
      <c r="C8" s="190" t="n">
        <v>26253463</v>
      </c>
      <c r="D8" s="190" t="n">
        <v>787603890</v>
      </c>
      <c r="E8" s="190" t="n">
        <v>78760389</v>
      </c>
      <c r="F8" s="191" t="inlineStr">
        <is>
          <t>감사보고서 "퇴직급여" 자리에 상여금 배치</t>
        </is>
      </c>
    </row>
    <row r="9">
      <c r="B9" s="187" t="inlineStr">
        <is>
          <t>복리후생비</t>
        </is>
      </c>
      <c r="C9" s="190" t="n">
        <v>3777707</v>
      </c>
      <c r="D9" s="190" t="n">
        <v>113331210</v>
      </c>
      <c r="E9" s="190" t="n">
        <v>11333121</v>
      </c>
      <c r="F9" s="191" t="inlineStr">
        <is>
          <t>현금성 복리</t>
        </is>
      </c>
    </row>
    <row r="10">
      <c r="B10" s="192" t="inlineStr">
        <is>
          <t>지상직 합계</t>
        </is>
      </c>
      <c r="C10" s="193" t="n">
        <v>82935669</v>
      </c>
      <c r="D10" s="193" t="n">
        <v>2488070070</v>
      </c>
      <c r="E10" s="193" t="n">
        <v>248807007</v>
      </c>
      <c r="F10" s="191">
        <f> 52,904,499 + 26,253,463 + 3,777,707</f>
        <v/>
      </c>
    </row>
    <row r="11">
      <c r="B11" s="187" t="inlineStr">
        <is>
          <t>참고 · 감사보고서 역산 1인당</t>
        </is>
      </c>
      <c r="C11" s="190" t="n">
        <v>70761742</v>
      </c>
      <c r="F11" s="191">
        <f> 판관비 급여영역(급여+퇴직+복리) 3개년 평균 ÷ 30명</f>
        <v/>
      </c>
    </row>
    <row r="13">
      <c r="B13" s="188" t="inlineStr">
        <is>
          <t>B. 해상직 (운항원가) — 1인당 급여 분해</t>
        </is>
      </c>
    </row>
    <row r="15">
      <c r="B15" s="189" t="inlineStr">
        <is>
          <t>과목</t>
        </is>
      </c>
      <c r="C15" s="189" t="inlineStr">
        <is>
          <t>당사기준 1인당 (원)</t>
        </is>
      </c>
      <c r="D15" s="189" t="inlineStr">
        <is>
          <t>기준자료 20명 적용 (원)</t>
        </is>
      </c>
      <c r="E15" s="189" t="inlineStr">
        <is>
          <t>대조선박 20명 적용 (원)</t>
        </is>
      </c>
      <c r="F15" s="189" t="inlineStr">
        <is>
          <t>근거 · 비고</t>
        </is>
      </c>
    </row>
    <row r="16">
      <c r="B16" s="187" t="inlineStr">
        <is>
          <t>선원비 (= 급여)</t>
        </is>
      </c>
      <c r="C16" s="190" t="n">
        <v>76794697</v>
      </c>
      <c r="D16" s="190" t="n">
        <v>1535893940</v>
      </c>
      <c r="E16" s="190" t="n">
        <v>1535893940</v>
      </c>
      <c r="F16" s="191" t="inlineStr">
        <is>
          <t>선원 1인당 급여</t>
        </is>
      </c>
    </row>
    <row r="17">
      <c r="B17" s="187" t="inlineStr">
        <is>
          <t>선원후생비 (= 복리후생비)</t>
        </is>
      </c>
      <c r="C17" s="190" t="n">
        <v>12784582</v>
      </c>
      <c r="D17" s="190" t="n">
        <v>255691640</v>
      </c>
      <c r="E17" s="190" t="n">
        <v>255691640</v>
      </c>
      <c r="F17" s="191" t="inlineStr">
        <is>
          <t>선원 1인당 복리</t>
        </is>
      </c>
    </row>
    <row r="18">
      <c r="B18" s="192" t="inlineStr">
        <is>
          <t>해상직 합계</t>
        </is>
      </c>
      <c r="C18" s="193" t="n">
        <v>89579279</v>
      </c>
      <c r="D18" s="193" t="n">
        <v>1791585580</v>
      </c>
      <c r="E18" s="193" t="n">
        <v>1791585580</v>
      </c>
      <c r="F18" s="191">
        <f> 76,794,697 + 12,784,582 · 당사기준엔 퇴직급여 없음</f>
        <v/>
      </c>
    </row>
    <row r="19">
      <c r="B19" s="187" t="inlineStr">
        <is>
          <t>참고 · 감사보고서 역산 1인당</t>
        </is>
      </c>
      <c r="C19" s="190" t="n">
        <v>83479550</v>
      </c>
      <c r="F19" s="191">
        <f> 운항원가 급여영역 3개년 평균 ÷ 20명</f>
        <v/>
      </c>
    </row>
    <row r="21">
      <c r="B21" s="187" t="inlineStr">
        <is>
          <t>당사기준 ON 시 대조선박·10개년 뷰의 급여영역이 "1인당 × 설정 인원"으로 재계산.  ·  지상직 "상여금"은 감사보고서 "퇴직급여" 자리에 들어감(당사기준엔 퇴직 과목 분리 없음).  ·  해상직 당사기준엔 퇴직급여 없어 해당 라인 0 반영.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D35"/>
  <sheetViews>
    <sheetView workbookViewId="0">
      <selection activeCell="A1" sqref="A1"/>
    </sheetView>
  </sheetViews>
  <sheetFormatPr baseColWidth="8" defaultRowHeight="15"/>
  <cols>
    <col width="2" customWidth="1" min="1" max="1"/>
    <col width="32" customWidth="1" min="2" max="2"/>
    <col width="46" customWidth="1" min="3" max="3"/>
    <col width="65" customWidth="1" min="4" max="4"/>
  </cols>
  <sheetData>
    <row r="1" ht="20.25" customHeight="1">
      <c r="B1" s="186" t="inlineStr">
        <is>
          <t>하마유호 신조 — 시나리오 5 (양사 대리점 수익 전환)</t>
        </is>
      </c>
    </row>
    <row r="2">
      <c r="B2" s="187" t="inlineStr">
        <is>
          <t>62~71기 전구간 양사(하마유+샘포트) 대리점. 매출 베이스 = S1 매출 × 2 · 대리점 수익 = 베이스 × 15% · 산타모니카(하카타) 운항 수치 통합.</t>
        </is>
      </c>
    </row>
    <row r="4" ht="16.5" customHeight="1">
      <c r="B4" s="188" t="inlineStr">
        <is>
          <t>A. 매출 산식</t>
        </is>
      </c>
    </row>
    <row r="6">
      <c r="B6" s="189" t="inlineStr">
        <is>
          <t>항목</t>
        </is>
      </c>
      <c r="C6" s="189" t="inlineStr">
        <is>
          <t>계산식</t>
        </is>
      </c>
      <c r="D6" s="189" t="inlineStr">
        <is>
          <t>근거 · 비고</t>
        </is>
      </c>
    </row>
    <row r="7">
      <c r="B7" s="187" t="inlineStr">
        <is>
          <t>S1 매출 (여객 + 화물)</t>
        </is>
      </c>
      <c r="C7" s="187" t="inlineStr">
        <is>
          <t>s1Pax(y) + s1Cargo(y)</t>
        </is>
      </c>
      <c r="D7" s="191" t="inlineStr">
        <is>
          <t>S1 단독 피스톤 매출 — 공동계산 후 매출에 손해율(여객 △30%·화물 △8%) 반영</t>
        </is>
      </c>
    </row>
    <row r="8">
      <c r="B8" s="187" t="inlineStr">
        <is>
          <t>대리점 매출 베이스</t>
        </is>
      </c>
      <c r="C8" s="187" t="inlineStr">
        <is>
          <t>S1 매출 × 2</t>
        </is>
      </c>
      <c r="D8" s="191" t="inlineStr">
        <is>
          <t>양사 대리점이라 베이스가 두 배 (하마유 측 + 샘포트 측)</t>
        </is>
      </c>
    </row>
    <row r="9">
      <c r="B9" s="187" t="inlineStr">
        <is>
          <t>대리점 수익 (수수료)</t>
        </is>
      </c>
      <c r="C9" s="187" t="inlineStr">
        <is>
          <t>매출 베이스 × 15% (agencyRate)</t>
        </is>
      </c>
      <c r="D9" s="191" t="inlineStr">
        <is>
          <t>좌측 매출 그룹에서 비율 조정 가능. S4 는 베이스 × 1 × 15%</t>
        </is>
      </c>
    </row>
    <row r="10">
      <c r="B10" s="187" t="inlineStr">
        <is>
          <t>산타모니카 매출</t>
        </is>
      </c>
      <c r="C10" s="187" t="inlineStr">
        <is>
          <t>하카타 10개년 뷰 iPax + iCargo</t>
        </is>
      </c>
      <c r="D10" s="191" t="inlineStr">
        <is>
          <t>하카타 노선 운항 매출 그대로 가져옴</t>
        </is>
      </c>
    </row>
    <row r="11">
      <c r="B11" s="192" t="inlineStr">
        <is>
          <t>S5 매출액 (최종)</t>
        </is>
      </c>
      <c r="C11" s="192" t="inlineStr">
        <is>
          <t>대리점 수익 + 산타모니카 매출</t>
        </is>
      </c>
      <c r="D11" s="191" t="inlineStr">
        <is>
          <t>pax/cargo 베이스 라인은 S5 에서 숨김. "여객부문(산타모니카)" + "화물부문(산타모니카)" + "대리점 수익"만 노출</t>
        </is>
      </c>
    </row>
    <row r="13">
      <c r="B13" s="188" t="inlineStr">
        <is>
          <t>B. 비용·이익 처리</t>
        </is>
      </c>
    </row>
    <row r="15">
      <c r="B15" s="189" t="inlineStr">
        <is>
          <t>항목</t>
        </is>
      </c>
      <c r="C15" s="189" t="inlineStr">
        <is>
          <t>계산식</t>
        </is>
      </c>
      <c r="D15" s="189" t="inlineStr">
        <is>
          <t>근거 · 비고</t>
        </is>
      </c>
    </row>
    <row r="16">
      <c r="B16" s="192" t="inlineStr">
        <is>
          <t>매출원가</t>
        </is>
      </c>
      <c r="C16" s="192" t="inlineStr">
        <is>
          <t>하카타 10개년 뷰 iOp 전액</t>
        </is>
      </c>
      <c r="D16" s="191" t="inlineStr">
        <is>
          <t>산타모니카만 포함. 하마유 운항비용은 0 (당사가 agent 역할만)</t>
        </is>
      </c>
    </row>
    <row r="17">
      <c r="B17" s="187" t="inlineStr">
        <is>
          <t>└ 하카타 인건비</t>
        </is>
      </c>
      <c r="C17" s="187" t="inlineStr">
        <is>
          <t>iOpWage + iOpSev + iOpWelf</t>
        </is>
      </c>
      <c r="D17" s="191" t="inlineStr">
        <is>
          <t>접기/펼치기 자식 라인</t>
        </is>
      </c>
    </row>
    <row r="18">
      <c r="B18" s="187" t="inlineStr">
        <is>
          <t>└ 하카타 감가상각비</t>
        </is>
      </c>
      <c r="C18" s="187" t="inlineStr">
        <is>
          <t>iOpDep</t>
        </is>
      </c>
      <c r="D18" s="191" t="inlineStr"/>
    </row>
    <row r="19">
      <c r="B19" s="187" t="inlineStr">
        <is>
          <t>└ 하카타 선체이자</t>
        </is>
      </c>
      <c r="C19" s="187" t="inlineStr">
        <is>
          <t>iHull (차입금 있을 때)</t>
        </is>
      </c>
      <c r="D19" s="191" t="inlineStr"/>
    </row>
    <row r="20">
      <c r="B20" s="187" t="inlineStr">
        <is>
          <t>└ 하카타 대리점비(일본현지)</t>
        </is>
      </c>
      <c r="C20" s="187" t="inlineStr">
        <is>
          <t>iAgency</t>
        </is>
      </c>
      <c r="D20" s="191" t="inlineStr"/>
    </row>
    <row r="21">
      <c r="B21" s="187" t="inlineStr">
        <is>
          <t>└ 하카타 기타 운항비</t>
        </is>
      </c>
      <c r="C21" s="187" t="inlineStr">
        <is>
          <t>iOp − 위 네 항목의 합</t>
        </is>
      </c>
      <c r="D21" s="191" t="inlineStr">
        <is>
          <t>잔여 금액</t>
        </is>
      </c>
    </row>
    <row r="22">
      <c r="B22" s="192" t="inlineStr">
        <is>
          <t>판매관리비</t>
        </is>
      </c>
      <c r="C22" s="192" t="inlineStr">
        <is>
          <t>하마유 운항관련 판관비 + 하카타 판관비</t>
        </is>
      </c>
      <c r="D22" s="191" t="inlineStr">
        <is>
          <t>하마유 쪽 S1 판관비 그대로 유지 + 하카타(산타모니카) 판관비 합산</t>
        </is>
      </c>
    </row>
    <row r="23">
      <c r="B23" s="187" t="inlineStr">
        <is>
          <t>└ 하마유 운항관련 판관비</t>
        </is>
      </c>
      <c r="C23" s="187" t="inlineStr">
        <is>
          <t>s.sgaPay[y] + s.sgaBonus[y] + s.sgaIns[y] + s.sgaWelf[y] + s.sgaEtc[y]</t>
        </is>
      </c>
      <c r="D23" s="191" t="inlineStr">
        <is>
          <t>대리점 역할이지만 당사 사무 운영 비용은 발생</t>
        </is>
      </c>
    </row>
    <row r="24">
      <c r="B24" s="187" t="inlineStr">
        <is>
          <t>└ 하카타 판관비 (산타모니카)</t>
        </is>
      </c>
      <c r="C24" s="187" t="inlineStr">
        <is>
          <t>하카타 10개년 뷰 iSga</t>
        </is>
      </c>
      <c r="D24" s="191" t="inlineStr"/>
    </row>
    <row r="25">
      <c r="B25" s="192" t="inlineStr">
        <is>
          <t>영업이익</t>
        </is>
      </c>
      <c r="C25" s="192" t="inlineStr">
        <is>
          <t>매출액 − 매출원가 − 판매관리비</t>
        </is>
      </c>
      <c r="D25" s="191">
        <f> 대리점 수익 + 산타모니카 영업이익 − 하마유 판관비</f>
        <v/>
      </c>
    </row>
    <row r="26">
      <c r="B26" s="192" t="inlineStr">
        <is>
          <t>법인세차감전이익 (PBT)</t>
        </is>
      </c>
      <c r="C26" s="192" t="inlineStr">
        <is>
          <t>영업이익 (하마유 측 영업외 없음)</t>
        </is>
      </c>
      <c r="D26" s="191" t="inlineStr">
        <is>
          <t>하카타 10년 뷰도 영업외 없어 iOpP 가 곧 PBT</t>
        </is>
      </c>
    </row>
    <row r="28">
      <c r="B28" s="188" t="inlineStr">
        <is>
          <t>C. 검산 — DEFAULTS 62기 샘플</t>
        </is>
      </c>
    </row>
    <row r="30">
      <c r="B30" s="189" t="inlineStr">
        <is>
          <t>항목</t>
        </is>
      </c>
      <c r="C30" s="189" t="inlineStr">
        <is>
          <t>값 (백만원)</t>
        </is>
      </c>
      <c r="D30" s="189" t="inlineStr">
        <is>
          <t>근거 · 비고</t>
        </is>
      </c>
    </row>
    <row r="31">
      <c r="B31" s="187" t="inlineStr">
        <is>
          <t>S1 62기 매출</t>
        </is>
      </c>
      <c r="C31" s="190" t="n">
        <v>23954</v>
      </c>
      <c r="D31" s="191" t="inlineStr">
        <is>
          <t>4,346 여객 + 19,608 화물 (gPax=0 기본)</t>
        </is>
      </c>
    </row>
    <row r="32">
      <c r="B32" s="187" t="inlineStr">
        <is>
          <t>매출 베이스 (× 2)</t>
        </is>
      </c>
      <c r="C32" s="190" t="n">
        <v>47908</v>
      </c>
      <c r="D32" s="191" t="inlineStr">
        <is>
          <t>양사 대리점 전환으로 ×2</t>
        </is>
      </c>
    </row>
    <row r="33">
      <c r="B33" s="187" t="inlineStr">
        <is>
          <t>대리점 수익 (× 15%)</t>
        </is>
      </c>
      <c r="C33" s="190" t="n">
        <v>7186</v>
      </c>
      <c r="D33" s="191">
        <f> 47,908 × 15% = agencyRate 기본값</f>
        <v/>
      </c>
    </row>
    <row r="34">
      <c r="B34" s="187" t="inlineStr">
        <is>
          <t>S1 여객매출 (수수료 산출용)</t>
        </is>
      </c>
      <c r="C34" s="190" t="n">
        <v>8691</v>
      </c>
      <c r="D34" s="191" t="inlineStr">
        <is>
          <t>4,346 × 2 — HTML "대리점 수익" 아래 자식 라인에 노출</t>
        </is>
      </c>
    </row>
    <row r="35">
      <c r="B35" s="187" t="inlineStr">
        <is>
          <t>S1 화물매출 (수수료 산출용)</t>
        </is>
      </c>
      <c r="C35" s="190" t="n">
        <v>39216</v>
      </c>
      <c r="D35" s="191" t="inlineStr">
        <is>
          <t>19,608 × 2 — 동일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D24"/>
  <sheetViews>
    <sheetView workbookViewId="0">
      <selection activeCell="A1" sqref="A1"/>
    </sheetView>
  </sheetViews>
  <sheetFormatPr baseColWidth="8" defaultRowHeight="15"/>
  <cols>
    <col width="2" customWidth="1" min="1" max="1"/>
    <col width="20" customWidth="1" min="2" max="2"/>
    <col width="48" customWidth="1" min="3" max="3"/>
    <col width="55" customWidth="1" min="4" max="4"/>
  </cols>
  <sheetData>
    <row r="1" ht="20.25" customHeight="1">
      <c r="B1" s="186" t="inlineStr">
        <is>
          <t>HTML 변경요약 — 2026-10 반영분</t>
        </is>
      </c>
    </row>
    <row r="2">
      <c r="B2" s="187" t="inlineStr">
        <is>
          <t>하카타 손익분석.html 에 반영된 주요 변경사항. 세부 수치는 HTML / 당사기준_1인당단가 · 하마유_S5_양사대리점 시트 참조.</t>
        </is>
      </c>
    </row>
    <row r="4" ht="16.5" customHeight="1">
      <c r="B4" s="189" t="inlineStr">
        <is>
          <t>분류</t>
        </is>
      </c>
      <c r="C4" s="189" t="inlineStr">
        <is>
          <t>변경사항</t>
        </is>
      </c>
      <c r="D4" s="189" t="inlineStr">
        <is>
          <t>반영 위치 (시트/뷰)</t>
        </is>
      </c>
    </row>
    <row r="5" ht="28" customHeight="1">
      <c r="B5" s="187" t="inlineStr">
        <is>
          <t>기준자료 셋팅</t>
        </is>
      </c>
      <c r="C5" s="191" t="inlineStr">
        <is>
          <t>산타모니카 총톤수 3,500 → 3,300톤</t>
        </is>
      </c>
      <c r="D5" s="191" t="inlineStr">
        <is>
          <t>index.html 시뮬레이션 · 선박스케줄</t>
        </is>
      </c>
    </row>
    <row r="6" ht="28" customHeight="1">
      <c r="B6" s="187" t="inlineStr">
        <is>
          <t>기준자료 셋팅</t>
        </is>
      </c>
      <c r="C6" s="191" t="inlineStr">
        <is>
          <t>산타모니카·퀸비틀 출항 08:30 / 회항 14:00 로 통일</t>
        </is>
      </c>
      <c r="D6" s="191" t="inlineStr">
        <is>
          <t>index.html 시뮬레이션</t>
        </is>
      </c>
    </row>
    <row r="7" ht="28" customHeight="1">
      <c r="B7" s="187" t="inlineStr">
        <is>
          <t>1인당 급여 모델</t>
        </is>
      </c>
      <c r="C7" s="191" t="inlineStr">
        <is>
          <t>당사기준 1인당 단가 토글 추가 (지상 82.9M · 해상 89.6M)</t>
        </is>
      </c>
      <c r="D7" s="191" t="inlineStr">
        <is>
          <t>손익계산서 체크박스, 인력 섹션, 급여 라인 인라인 · 당사기준_1인당단가 시트 참조</t>
        </is>
      </c>
    </row>
    <row r="8" ht="28" customHeight="1">
      <c r="B8" s="187" t="inlineStr">
        <is>
          <t>1인당 급여 모델</t>
        </is>
      </c>
      <c r="C8" s="191" t="inlineStr">
        <is>
          <t>"퇴직급여" 자리에 "상여금" 라벨 (당사기준 모드 시)</t>
        </is>
      </c>
      <c r="D8" s="191" t="inlineStr">
        <is>
          <t>대조선박 PL · 10개년 뷰</t>
        </is>
      </c>
    </row>
    <row r="9" ht="28" customHeight="1">
      <c r="B9" s="187" t="inlineStr">
        <is>
          <t>1인당 급여 모델</t>
        </is>
      </c>
      <c r="C9" s="191" t="inlineStr">
        <is>
          <t>참고 라인 라벨 "감사보고서 역산" → "56~58기 3개년 평균"</t>
        </is>
      </c>
      <c r="D9" s="191" t="inlineStr">
        <is>
          <t>당사기준_1인당단가 시트</t>
        </is>
      </c>
    </row>
    <row r="10" ht="28" customHeight="1">
      <c r="B10" s="187" t="inlineStr">
        <is>
          <t>손익 지표</t>
        </is>
      </c>
      <c r="C10" s="191" t="inlineStr">
        <is>
          <t>DSCR → 원금커버배수(지분 관점) 로 전환</t>
        </is>
      </c>
      <c r="D10" s="191">
        <f> (당기순 + 감가 − 유보금) ÷ 거치 후 원금. 기존 CFADS/원리금 식 폐기</f>
        <v/>
      </c>
    </row>
    <row r="11" ht="28" customHeight="1">
      <c r="B11" s="187" t="inlineStr">
        <is>
          <t>손익 지표</t>
        </is>
      </c>
      <c r="C11" s="191" t="inlineStr">
        <is>
          <t>손익계산서 Ⅷ·Ⅹ 순손실 금액 괄호 표기 자동화</t>
        </is>
      </c>
      <c r="D11" s="191" t="inlineStr">
        <is>
          <t>손익계산서_원본 디스플레이</t>
        </is>
      </c>
    </row>
    <row r="12" ht="28" customHeight="1">
      <c r="B12" s="187" t="inlineStr">
        <is>
          <t>10개년 투영</t>
        </is>
      </c>
      <c r="C12" s="191" t="inlineStr">
        <is>
          <t>운항원가 급여 라인에 당사기준 체크박스 노출 (10년 뷰)</t>
        </is>
      </c>
      <c r="D12" s="191" t="inlineStr">
        <is>
          <t>pl10 th min-width 240px 로 체크박스 수용</t>
        </is>
      </c>
    </row>
    <row r="13" ht="28" customHeight="1">
      <c r="B13" s="187" t="inlineStr">
        <is>
          <t>하마유 시뮬레이터</t>
        </is>
      </c>
      <c r="C13" s="191" t="inlineStr">
        <is>
          <t>신조 시나리오 손익 시뮬레이터 팝업 추가 (10년 뷰 전용 버튼)</t>
        </is>
      </c>
      <c r="D13" s="191" t="inlineStr">
        <is>
          <t>변수 설정 패널 + 전체 ROWS 표 + 통합본 보기</t>
        </is>
      </c>
    </row>
    <row r="14" ht="28" customHeight="1">
      <c r="B14" s="187" t="inlineStr">
        <is>
          <t>하마유 시뮬레이터</t>
        </is>
      </c>
      <c r="C14" s="191" t="inlineStr">
        <is>
          <t>S1~S5 다섯 시나리오 (S5 신규 "양사 대리점 수익 전환")</t>
        </is>
      </c>
      <c r="D14" s="191" t="inlineStr">
        <is>
          <t>하마유_S5_양사대리점 시트 참조</t>
        </is>
      </c>
    </row>
    <row r="15" ht="28" customHeight="1">
      <c r="B15" s="187" t="inlineStr">
        <is>
          <t>하마유 S4 수정</t>
        </is>
      </c>
      <c r="C15" s="191" t="inlineStr">
        <is>
          <t>"65기 이후 추정 불가" → "하마유 대리점 매출 15% 수수료"로 추정 가능</t>
        </is>
      </c>
      <c r="D15" s="191" t="inlineStr">
        <is>
          <t>S4 65기+: 매출 = S1 × 1 × 15%, 운항·판관비 전액 0</t>
        </is>
      </c>
    </row>
    <row r="16" ht="28" customHeight="1">
      <c r="B16" s="187" t="inlineStr">
        <is>
          <t>하마유 S5 신규</t>
        </is>
      </c>
      <c r="C16" s="191" t="inlineStr">
        <is>
          <t>S5 전구간 양사 대리점 — 매출 베이스 = S1 × 2, 수수료 15%</t>
        </is>
      </c>
      <c r="D16" s="191" t="inlineStr">
        <is>
          <t>하마유_S5_양사대리점 시트</t>
        </is>
      </c>
    </row>
    <row r="17" ht="28" customHeight="1">
      <c r="B17" s="187" t="inlineStr">
        <is>
          <t>하마유 S5 통합</t>
        </is>
      </c>
      <c r="C17" s="191" t="inlineStr">
        <is>
          <t>하카타 10개년 뷰 (산타모니카 운항) 매출·비용 자동 통합</t>
        </is>
      </c>
      <c r="D17" s="191" t="inlineStr">
        <is>
          <t>매출원가 = 하카타 iOp · 판관비 = 하마유 S1 판관비 + 하카타 iSga</t>
        </is>
      </c>
    </row>
    <row r="18" ht="28" customHeight="1">
      <c r="B18" s="187" t="inlineStr">
        <is>
          <t>하마유 S5 통합</t>
        </is>
      </c>
      <c r="C18" s="191" t="inlineStr">
        <is>
          <t>하카타 운항비 접기/펼치기 (인건비·감가·선체이자·대리점비·기타)</t>
        </is>
      </c>
      <c r="D18" s="191" t="inlineStr">
        <is>
          <t>5개 세부 자식 라인</t>
        </is>
      </c>
    </row>
    <row r="19" ht="28" customHeight="1">
      <c r="B19" s="187" t="inlineStr">
        <is>
          <t>하마유 매출 모델</t>
        </is>
      </c>
      <c r="C19" s="191" t="inlineStr">
        <is>
          <t>대리점 수익 비율 변수화 (agencyRate, 기본 15%)</t>
        </is>
      </c>
      <c r="D19" s="191" t="inlineStr">
        <is>
          <t>매출 그룹에서 조정</t>
        </is>
      </c>
    </row>
    <row r="20" ht="28" customHeight="1">
      <c r="B20" s="187" t="inlineStr">
        <is>
          <t>하마유 매출 모델</t>
        </is>
      </c>
      <c r="C20" s="191" t="inlineStr">
        <is>
          <t>DEFAULTS.gPax 0.0266 → 0 (여객매출 증가율 기본 0)</t>
        </is>
      </c>
      <c r="D20" s="191" t="inlineStr"/>
    </row>
    <row r="21" ht="28" customHeight="1">
      <c r="B21" s="187" t="inlineStr">
        <is>
          <t>기능</t>
        </is>
      </c>
      <c r="C21" s="191" t="inlineStr">
        <is>
          <t>로그인 게이트 (FNV 해시 · 1시간 쿠키/localStorage 세션)</t>
        </is>
      </c>
      <c r="D21" s="191" t="inlineStr">
        <is>
          <t>pukwan / ferry0830 — KEY 상수만 저장</t>
        </is>
      </c>
    </row>
    <row r="22" ht="28" customHeight="1">
      <c r="B22" s="187" t="inlineStr">
        <is>
          <t>기능</t>
        </is>
      </c>
      <c r="C22" s="191" t="inlineStr">
        <is>
          <t>하마유 시뮬레이터 인쇄 버튼 (가로 A4 포맷)</t>
        </is>
      </c>
      <c r="D22" s="191" t="inlineStr">
        <is>
          <t>새 창에 표만 렌더 후 window.print()</t>
        </is>
      </c>
    </row>
    <row r="23" ht="28" customHeight="1">
      <c r="B23" s="187" t="inlineStr">
        <is>
          <t>기타</t>
        </is>
      </c>
      <c r="C23" s="191" t="inlineStr">
        <is>
          <t>운임표 영차 행 "(적재물 있음)" 명시</t>
        </is>
      </c>
      <c r="D23" s="191" t="inlineStr">
        <is>
          <t>라보·타우너 영차, 1톤 트럭 영차</t>
        </is>
      </c>
    </row>
    <row r="24" ht="28" customHeight="1">
      <c r="B24" s="187" t="inlineStr">
        <is>
          <t>기타</t>
        </is>
      </c>
      <c r="C24" s="191" t="inlineStr">
        <is>
          <t>주석 15 부가가치 시트 최소 높이 확보</t>
        </is>
      </c>
      <c r="D24" s="191" t="inlineStr">
        <is>
          <t>모달 flex-shrink:0 · tN15 min-height 320px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2026-09-30T00:26:11Z</dcterms:created>
  <dcterms:modified xmlns:dcterms="http://purl.org/dc/terms/" xmlns:xsi="http://www.w3.org/2001/XMLSchema-instance" xsi:type="dcterms:W3CDTF">2026-10-07T05:14:47Z</dcterms:modified>
  <cp:lastModifiedBy>1</cp:lastModifiedBy>
  <cp:revision>1</cp:revision>
</cp:coreProperties>
</file>